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8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13.xml"/>
  <Override ContentType="application/vnd.openxmlformats-officedocument.spreadsheetml.pivotCacheDefinition+xml" PartName="/xl/pivotCache/pivotCacheDefinition26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1.xml"/>
  <Override ContentType="application/vnd.openxmlformats-officedocument.spreadsheetml.pivotCacheDefinition+xml" PartName="/xl/pivotCache/pivotCacheDefinition19.xml"/>
  <Override ContentType="application/vnd.openxmlformats-officedocument.spreadsheetml.pivotCacheDefinition+xml" PartName="/xl/pivotCache/pivotCacheDefinition30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5.xml"/>
  <Override ContentType="application/vnd.openxmlformats-officedocument.spreadsheetml.pivotCacheDefinition+xml" PartName="/xl/pivotCache/pivotCacheDefinition28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12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16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0.xml"/>
  <Override ContentType="application/vnd.openxmlformats-officedocument.spreadsheetml.pivotCacheDefinition+xml" PartName="/xl/pivotCache/pivotCacheDefinition24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11.xml"/>
  <Override ContentType="application/vnd.openxmlformats-officedocument.spreadsheetml.pivotCacheDefinition+xml" PartName="/xl/pivotCache/pivotCacheDefinition29.xml"/>
  <Override ContentType="application/vnd.openxmlformats-officedocument.spreadsheetml.pivotCacheDefinition+xml" PartName="/xl/pivotCache/pivotCacheDefinition10.xml"/>
  <Override ContentType="application/vnd.openxmlformats-officedocument.spreadsheetml.pivotCacheDefinition+xml" PartName="/xl/pivotCache/pivotCacheDefinition15.xml"/>
  <Override ContentType="application/vnd.openxmlformats-officedocument.spreadsheetml.pivotCacheDefinition+xml" PartName="/xl/pivotCache/pivotCacheDefinition32.xml"/>
  <Override ContentType="application/vnd.openxmlformats-officedocument.spreadsheetml.pivotCacheDefinition+xml" PartName="/xl/pivotCache/pivotCacheDefinition3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17.xml"/>
  <Override ContentType="application/vnd.openxmlformats-officedocument.spreadsheetml.pivotCacheDefinition+xml" PartName="/xl/pivotCache/pivotCacheDefinition23.xml"/>
  <Override ContentType="application/vnd.openxmlformats-officedocument.spreadsheetml.pivotCacheDefinition+xml" PartName="/xl/pivotCache/pivotCacheDefinition14.xml"/>
  <Override ContentType="application/vnd.openxmlformats-officedocument.spreadsheetml.pivotCacheDefinition+xml" PartName="/xl/pivotCache/pivotCacheDefinition27.xml"/>
  <Override ContentType="application/vnd.openxmlformats-officedocument.spreadsheetml.pivotCacheDefinition+xml" PartName="/xl/pivotCache/pivotCacheDefinition22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pivotTable+xml" PartName="/xl/pivotTables/pivotTable25.xml"/>
  <Override ContentType="application/vnd.openxmlformats-officedocument.spreadsheetml.pivotTable+xml" PartName="/xl/pivotTables/pivotTable20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24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26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3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23.xml"/>
  <Override ContentType="application/vnd.openxmlformats-officedocument.spreadsheetml.pivotTable+xml" PartName="/xl/pivotTables/pivotTable2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31.xml"/>
  <Override ContentType="application/vnd.openxmlformats-officedocument.spreadsheetml.pivotTable+xml" PartName="/xl/pivotTables/pivotTable22.xml"/>
  <Override ContentType="application/vnd.openxmlformats-officedocument.spreadsheetml.pivotTable+xml" PartName="/xl/pivotTables/pivotTable28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30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21.xml"/>
  <Override ContentType="application/vnd.openxmlformats-officedocument.spreadsheetml.pivotTable+xml" PartName="/xl/pivotTables/pivotTable29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biorczy" sheetId="1" r:id="rId5"/>
    <sheet state="visible" name="pazdziernik2025" sheetId="2" r:id="rId6"/>
    <sheet state="visible" name="wrzesien2025" sheetId="3" r:id="rId7"/>
    <sheet state="visible" name="sierpien2025" sheetId="4" r:id="rId8"/>
    <sheet state="visible" name="lipiec2025" sheetId="5" r:id="rId9"/>
    <sheet state="visible" name="czerwiec2025" sheetId="6" r:id="rId10"/>
    <sheet state="visible" name="maj2025" sheetId="7" r:id="rId11"/>
    <sheet state="visible" name="kwiecien2025" sheetId="8" r:id="rId12"/>
    <sheet state="visible" name="marzec2025" sheetId="9" r:id="rId13"/>
    <sheet state="visible" name="luty2025" sheetId="10" r:id="rId14"/>
    <sheet state="visible" name="styczen2025" sheetId="11" r:id="rId15"/>
    <sheet state="visible" name="grudzien2024" sheetId="12" r:id="rId16"/>
    <sheet state="visible" name="listopad2024" sheetId="13" r:id="rId17"/>
    <sheet state="visible" name="pazdziernik2024" sheetId="14" r:id="rId18"/>
    <sheet state="visible" name="wrzesien2024" sheetId="15" r:id="rId19"/>
    <sheet state="visible" name="sierpien2024" sheetId="16" r:id="rId20"/>
    <sheet state="visible" name="lipiec2024" sheetId="17" r:id="rId21"/>
    <sheet state="visible" name="czerwiec2024" sheetId="18" r:id="rId22"/>
    <sheet state="visible" name="maj2024" sheetId="19" r:id="rId23"/>
    <sheet state="visible" name="kwiecien2024" sheetId="20" r:id="rId24"/>
    <sheet state="visible" name="marzec2024" sheetId="21" r:id="rId25"/>
    <sheet state="visible" name="luty2024" sheetId="22" r:id="rId26"/>
    <sheet state="visible" name="styczen2024" sheetId="23" r:id="rId27"/>
    <sheet state="visible" name="grudzien2023" sheetId="24" r:id="rId28"/>
    <sheet state="visible" name="listopad2023" sheetId="25" r:id="rId29"/>
    <sheet state="visible" name="pazdziernik2023" sheetId="26" r:id="rId30"/>
    <sheet state="visible" name="wrzesien2023" sheetId="27" r:id="rId31"/>
    <sheet state="visible" name="sierpien2023" sheetId="28" r:id="rId32"/>
    <sheet state="visible" name="lipiec2023" sheetId="29" r:id="rId33"/>
    <sheet state="visible" name="czerwiec2023" sheetId="30" r:id="rId34"/>
    <sheet state="visible" name="maj2023" sheetId="31" r:id="rId35"/>
    <sheet state="visible" name="kwiecien2023" sheetId="32" r:id="rId36"/>
    <sheet state="visible" name="marzec2023" sheetId="33" r:id="rId37"/>
    <sheet state="visible" name="luty2023" sheetId="34" r:id="rId38"/>
    <sheet state="visible" name="styczen2023" sheetId="35" r:id="rId39"/>
    <sheet state="visible" name="grudzien2022" sheetId="36" r:id="rId40"/>
    <sheet state="visible" name="listopad2022" sheetId="37" r:id="rId41"/>
    <sheet state="visible" name="pazdziernik2022" sheetId="38" r:id="rId42"/>
    <sheet state="visible" name="wrzesien2022" sheetId="39" r:id="rId43"/>
    <sheet state="visible" name="sierpien2022" sheetId="40" r:id="rId44"/>
    <sheet state="visible" name="lipiec2022" sheetId="41" r:id="rId45"/>
    <sheet state="visible" name="czerwiec2022" sheetId="42" r:id="rId46"/>
    <sheet state="visible" name="maj2022" sheetId="43" r:id="rId47"/>
    <sheet state="visible" name="kwiecień2022" sheetId="44" r:id="rId48"/>
    <sheet state="visible" name="marzec2022" sheetId="45" r:id="rId49"/>
    <sheet state="visible" name="luty2022" sheetId="46" r:id="rId50"/>
    <sheet state="visible" name="styczeń2022" sheetId="47" r:id="rId51"/>
    <sheet state="visible" name="grudzień2021" sheetId="48" r:id="rId52"/>
    <sheet state="visible" name="listopad2021" sheetId="49" r:id="rId53"/>
    <sheet state="visible" name="październik2021" sheetId="50" r:id="rId54"/>
    <sheet state="visible" name="wrzesień2021" sheetId="51" r:id="rId55"/>
    <sheet state="visible" name="sierpień2021" sheetId="52" r:id="rId56"/>
    <sheet state="visible" name="lipiec2021" sheetId="53" r:id="rId57"/>
    <sheet state="visible" name="czerwiec2021" sheetId="54" r:id="rId58"/>
    <sheet state="visible" name="maj2021" sheetId="55" r:id="rId59"/>
    <sheet state="visible" name="kwiecień2021" sheetId="56" r:id="rId60"/>
    <sheet state="visible" name="marzec2021" sheetId="57" r:id="rId61"/>
    <sheet state="visible" name="luty2021" sheetId="58" r:id="rId62"/>
    <sheet state="visible" name="styczeń" sheetId="59" r:id="rId63"/>
    <sheet state="visible" name="grudzień" sheetId="60" r:id="rId64"/>
    <sheet state="visible" name="listopad" sheetId="61" r:id="rId65"/>
    <sheet state="visible" name="październik" sheetId="62" r:id="rId66"/>
    <sheet state="visible" name="wrzesień" sheetId="63" r:id="rId67"/>
    <sheet state="visible" name="sierpień" sheetId="64" r:id="rId68"/>
    <sheet state="visible" name="lipiec" sheetId="65" r:id="rId69"/>
    <sheet state="visible" name="kategorie" sheetId="66" r:id="rId70"/>
  </sheets>
  <definedNames>
    <definedName hidden="1" localSheetId="18" name="_xlnm._FilterDatabase">'maj2024'!$A$1:$A$997</definedName>
    <definedName hidden="1" localSheetId="22" name="_xlnm._FilterDatabase">styczen2024!$A$1:$A$999</definedName>
    <definedName hidden="1" localSheetId="23" name="_xlnm._FilterDatabase">grudzien2023!$A$1:$B$999</definedName>
    <definedName hidden="1" localSheetId="29" name="_xlnm._FilterDatabase">czerwiec2023!$A$2:$B$83</definedName>
    <definedName hidden="1" localSheetId="30" name="_xlnm._FilterDatabase">'maj2023'!$A$2:$B$64</definedName>
    <definedName hidden="1" localSheetId="31" name="_xlnm._FilterDatabase">kwiecien2023!$A$2:$B$88</definedName>
    <definedName hidden="1" localSheetId="32" name="_xlnm._FilterDatabase">marzec2023!$A$2:$B$92</definedName>
    <definedName hidden="1" localSheetId="34" name="_xlnm._FilterDatabase">styczen2023!$A$2:$B$92</definedName>
    <definedName hidden="1" localSheetId="40" name="_xlnm._FilterDatabase">lipiec2022!$A$2:$B$74</definedName>
    <definedName hidden="1" localSheetId="43" name="Z_274A18ED_3EEE_404A_82AF_9767D45217F0_.wvu.FilterData">'kwiecień2022'!$G$15</definedName>
    <definedName hidden="1" localSheetId="1" name="Z_E969E989_0C31_444B_8C15_CA7195A654B3_.wvu.FilterData">pazdziernik2025!$G$14</definedName>
    <definedName hidden="1" localSheetId="2" name="Z_E969E989_0C31_444B_8C15_CA7195A654B3_.wvu.FilterData">wrzesien2025!$G$14</definedName>
    <definedName hidden="1" localSheetId="3" name="Z_E969E989_0C31_444B_8C15_CA7195A654B3_.wvu.FilterData">sierpien2025!$G$14</definedName>
    <definedName hidden="1" localSheetId="4" name="Z_E969E989_0C31_444B_8C15_CA7195A654B3_.wvu.FilterData">lipiec2025!$G$14</definedName>
    <definedName hidden="1" localSheetId="5" name="Z_E969E989_0C31_444B_8C15_CA7195A654B3_.wvu.FilterData">czerwiec2025!$G$14</definedName>
    <definedName hidden="1" localSheetId="6" name="Z_E969E989_0C31_444B_8C15_CA7195A654B3_.wvu.FilterData">'maj2025'!$G$14</definedName>
    <definedName hidden="1" localSheetId="7" name="Z_E969E989_0C31_444B_8C15_CA7195A654B3_.wvu.FilterData">kwiecien2025!$G$14</definedName>
    <definedName hidden="1" localSheetId="8" name="Z_E969E989_0C31_444B_8C15_CA7195A654B3_.wvu.FilterData">marzec2025!$G$14</definedName>
    <definedName hidden="1" localSheetId="9" name="Z_E969E989_0C31_444B_8C15_CA7195A654B3_.wvu.FilterData">luty2025!$G$14</definedName>
    <definedName hidden="1" localSheetId="10" name="Z_E969E989_0C31_444B_8C15_CA7195A654B3_.wvu.FilterData">styczen2025!$G$14</definedName>
    <definedName hidden="1" localSheetId="11" name="Z_E969E989_0C31_444B_8C15_CA7195A654B3_.wvu.FilterData">grudzien2024!$G$14</definedName>
    <definedName hidden="1" localSheetId="12" name="Z_E969E989_0C31_444B_8C15_CA7195A654B3_.wvu.FilterData">listopad2024!$G$14</definedName>
    <definedName hidden="1" localSheetId="13" name="Z_E969E989_0C31_444B_8C15_CA7195A654B3_.wvu.FilterData">pazdziernik2024!$G$14</definedName>
    <definedName hidden="1" localSheetId="14" name="Z_E969E989_0C31_444B_8C15_CA7195A654B3_.wvu.FilterData">wrzesien2024!$G$14</definedName>
    <definedName hidden="1" localSheetId="15" name="Z_E969E989_0C31_444B_8C15_CA7195A654B3_.wvu.FilterData">sierpien2024!$G$14</definedName>
    <definedName hidden="1" localSheetId="16" name="Z_E969E989_0C31_444B_8C15_CA7195A654B3_.wvu.FilterData">lipiec2024!$G$14</definedName>
    <definedName hidden="1" localSheetId="17" name="Z_E969E989_0C31_444B_8C15_CA7195A654B3_.wvu.FilterData">czerwiec2024!$G$14</definedName>
    <definedName hidden="1" localSheetId="18" name="Z_E969E989_0C31_444B_8C15_CA7195A654B3_.wvu.FilterData">'maj2024'!$G$14</definedName>
    <definedName hidden="1" localSheetId="19" name="Z_E969E989_0C31_444B_8C15_CA7195A654B3_.wvu.FilterData">kwiecien2024!$G$14</definedName>
    <definedName hidden="1" localSheetId="20" name="Z_E969E989_0C31_444B_8C15_CA7195A654B3_.wvu.FilterData">marzec2024!$G$14</definedName>
    <definedName hidden="1" localSheetId="21" name="Z_E969E989_0C31_444B_8C15_CA7195A654B3_.wvu.FilterData">luty2024!$G$14</definedName>
    <definedName hidden="1" localSheetId="22" name="Z_E969E989_0C31_444B_8C15_CA7195A654B3_.wvu.FilterData">styczen2024!$G$14</definedName>
    <definedName hidden="1" localSheetId="23" name="Z_E969E989_0C31_444B_8C15_CA7195A654B3_.wvu.FilterData">grudzien2023!$G$14</definedName>
    <definedName hidden="1" localSheetId="24" name="Z_E969E989_0C31_444B_8C15_CA7195A654B3_.wvu.FilterData">listopad2023!$G$14</definedName>
    <definedName hidden="1" localSheetId="25" name="Z_E969E989_0C31_444B_8C15_CA7195A654B3_.wvu.FilterData">pazdziernik2023!$G$14</definedName>
    <definedName hidden="1" localSheetId="26" name="Z_E969E989_0C31_444B_8C15_CA7195A654B3_.wvu.FilterData">wrzesien2023!$G$14</definedName>
    <definedName hidden="1" localSheetId="27" name="Z_E969E989_0C31_444B_8C15_CA7195A654B3_.wvu.FilterData">sierpien2023!$G$14</definedName>
    <definedName hidden="1" localSheetId="28" name="Z_E969E989_0C31_444B_8C15_CA7195A654B3_.wvu.FilterData">lipiec2023!$G$14</definedName>
    <definedName hidden="1" localSheetId="29" name="Z_E969E989_0C31_444B_8C15_CA7195A654B3_.wvu.FilterData">czerwiec2023!$G$14</definedName>
    <definedName hidden="1" localSheetId="30" name="Z_E969E989_0C31_444B_8C15_CA7195A654B3_.wvu.FilterData">'maj2023'!$G$14</definedName>
    <definedName hidden="1" localSheetId="31" name="Z_E969E989_0C31_444B_8C15_CA7195A654B3_.wvu.FilterData">kwiecien2023!$G$14</definedName>
    <definedName hidden="1" localSheetId="32" name="Z_E969E989_0C31_444B_8C15_CA7195A654B3_.wvu.FilterData">marzec2023!$G$14</definedName>
    <definedName hidden="1" localSheetId="33" name="Z_E969E989_0C31_444B_8C15_CA7195A654B3_.wvu.FilterData">luty2023!$G$14</definedName>
    <definedName hidden="1" localSheetId="34" name="Z_E969E989_0C31_444B_8C15_CA7195A654B3_.wvu.FilterData">styczen2023!$G$14</definedName>
    <definedName hidden="1" localSheetId="35" name="Z_E969E989_0C31_444B_8C15_CA7195A654B3_.wvu.FilterData">grudzien2022!$G$14</definedName>
    <definedName hidden="1" localSheetId="36" name="Z_E969E989_0C31_444B_8C15_CA7195A654B3_.wvu.FilterData">listopad2022!$G$15</definedName>
    <definedName hidden="1" localSheetId="37" name="Z_E969E989_0C31_444B_8C15_CA7195A654B3_.wvu.FilterData">pazdziernik2022!$G$15</definedName>
    <definedName hidden="1" localSheetId="38" name="Z_E969E989_0C31_444B_8C15_CA7195A654B3_.wvu.FilterData">wrzesien2022!$G$15</definedName>
    <definedName hidden="1" localSheetId="39" name="Z_E969E989_0C31_444B_8C15_CA7195A654B3_.wvu.FilterData">sierpien2022!$G$15</definedName>
    <definedName hidden="1" localSheetId="40" name="Z_E969E989_0C31_444B_8C15_CA7195A654B3_.wvu.FilterData">lipiec2022!$G$15</definedName>
    <definedName hidden="1" localSheetId="41" name="Z_E969E989_0C31_444B_8C15_CA7195A654B3_.wvu.FilterData">czerwiec2022!$G$15</definedName>
    <definedName hidden="1" localSheetId="42" name="Z_E969E989_0C31_444B_8C15_CA7195A654B3_.wvu.FilterData">'maj2022'!$G$15</definedName>
    <definedName hidden="1" localSheetId="44" name="Z_E969E989_0C31_444B_8C15_CA7195A654B3_.wvu.FilterData">marzec2022!$G$15</definedName>
    <definedName hidden="1" localSheetId="45" name="Z_E969E989_0C31_444B_8C15_CA7195A654B3_.wvu.FilterData">luty2022!$G$15</definedName>
    <definedName hidden="1" localSheetId="46" name="Z_E969E989_0C31_444B_8C15_CA7195A654B3_.wvu.FilterData">'styczeń2022'!$G$15</definedName>
    <definedName hidden="1" localSheetId="47" name="Z_E969E989_0C31_444B_8C15_CA7195A654B3_.wvu.FilterData">'grudzień2021'!$G$15</definedName>
    <definedName hidden="1" localSheetId="48" name="Z_E969E989_0C31_444B_8C15_CA7195A654B3_.wvu.FilterData">listopad2021!$G$15</definedName>
    <definedName hidden="1" localSheetId="49" name="Z_E969E989_0C31_444B_8C15_CA7195A654B3_.wvu.FilterData">'październik2021'!$G$15</definedName>
    <definedName hidden="1" localSheetId="50" name="Z_E969E989_0C31_444B_8C15_CA7195A654B3_.wvu.FilterData">'wrzesień2021'!$G$15</definedName>
    <definedName hidden="1" localSheetId="51" name="Z_E969E989_0C31_444B_8C15_CA7195A654B3_.wvu.FilterData">'sierpień2021'!$G$15</definedName>
    <definedName hidden="1" localSheetId="52" name="Z_E969E989_0C31_444B_8C15_CA7195A654B3_.wvu.FilterData">lipiec2021!$G$15</definedName>
    <definedName hidden="1" localSheetId="53" name="Z_E969E989_0C31_444B_8C15_CA7195A654B3_.wvu.FilterData">czerwiec2021!$G$15</definedName>
    <definedName hidden="1" localSheetId="54" name="Z_E969E989_0C31_444B_8C15_CA7195A654B3_.wvu.FilterData">'maj2021'!$G$15</definedName>
    <definedName hidden="1" localSheetId="55" name="Z_E969E989_0C31_444B_8C15_CA7195A654B3_.wvu.FilterData">'kwiecień2021'!$G$15</definedName>
    <definedName hidden="1" localSheetId="56" name="Z_E969E989_0C31_444B_8C15_CA7195A654B3_.wvu.FilterData">marzec2021!$G$15</definedName>
    <definedName hidden="1" localSheetId="57" name="Z_E969E989_0C31_444B_8C15_CA7195A654B3_.wvu.FilterData">luty2021!$G$15</definedName>
    <definedName hidden="1" localSheetId="58" name="Z_E969E989_0C31_444B_8C15_CA7195A654B3_.wvu.FilterData">'styczeń'!$G$15</definedName>
    <definedName hidden="1" localSheetId="59" name="Z_E969E989_0C31_444B_8C15_CA7195A654B3_.wvu.FilterData">'grudzień'!$G$15</definedName>
    <definedName hidden="1" localSheetId="60" name="Z_E969E989_0C31_444B_8C15_CA7195A654B3_.wvu.FilterData">listopad!$G$15</definedName>
    <definedName hidden="1" localSheetId="61" name="Z_E969E989_0C31_444B_8C15_CA7195A654B3_.wvu.FilterData">'październik'!$F$15</definedName>
    <definedName hidden="1" localSheetId="62" name="Z_E969E989_0C31_444B_8C15_CA7195A654B3_.wvu.FilterData">'wrzesień'!$F$15</definedName>
    <definedName hidden="1" localSheetId="63" name="Z_E969E989_0C31_444B_8C15_CA7195A654B3_.wvu.FilterData">'sierpień'!$F$15</definedName>
    <definedName hidden="1" localSheetId="1" name="Z_DB56FE4D_69BC_4E44_A2B9_5F7BA227A86E_.wvu.FilterData">pazdziernik2025!$A$2:$D$114</definedName>
    <definedName hidden="1" localSheetId="2" name="Z_DB56FE4D_69BC_4E44_A2B9_5F7BA227A86E_.wvu.FilterData">wrzesien2025!$A$2:$D$114</definedName>
    <definedName hidden="1" localSheetId="3" name="Z_DB56FE4D_69BC_4E44_A2B9_5F7BA227A86E_.wvu.FilterData">sierpien2025!$A$2:$D$105</definedName>
    <definedName hidden="1" localSheetId="4" name="Z_DB56FE4D_69BC_4E44_A2B9_5F7BA227A86E_.wvu.FilterData">lipiec2025!$A$2:$D$105</definedName>
    <definedName hidden="1" localSheetId="5" name="Z_DB56FE4D_69BC_4E44_A2B9_5F7BA227A86E_.wvu.FilterData">czerwiec2025!$A$2:$D$84</definedName>
    <definedName hidden="1" localSheetId="6" name="Z_DB56FE4D_69BC_4E44_A2B9_5F7BA227A86E_.wvu.FilterData">'maj2025'!$A$2:$D$92</definedName>
    <definedName hidden="1" localSheetId="7" name="Z_DB56FE4D_69BC_4E44_A2B9_5F7BA227A86E_.wvu.FilterData">kwiecien2025!$A$2:$D$100</definedName>
    <definedName hidden="1" localSheetId="8" name="Z_DB56FE4D_69BC_4E44_A2B9_5F7BA227A86E_.wvu.FilterData">marzec2025!$A$2:$D$100</definedName>
    <definedName hidden="1" localSheetId="9" name="Z_DB56FE4D_69BC_4E44_A2B9_5F7BA227A86E_.wvu.FilterData">luty2025!$A$2:$D$109</definedName>
    <definedName hidden="1" localSheetId="10" name="Z_DB56FE4D_69BC_4E44_A2B9_5F7BA227A86E_.wvu.FilterData">styczen2025!$A$2:$D$100</definedName>
    <definedName hidden="1" localSheetId="11" name="Z_DB56FE4D_69BC_4E44_A2B9_5F7BA227A86E_.wvu.FilterData">grudzien2024!$A$2:$D$100</definedName>
    <definedName hidden="1" localSheetId="12" name="Z_DB56FE4D_69BC_4E44_A2B9_5F7BA227A86E_.wvu.FilterData">listopad2024!$A$2:$D$96</definedName>
    <definedName hidden="1" localSheetId="13" name="Z_DB56FE4D_69BC_4E44_A2B9_5F7BA227A86E_.wvu.FilterData">pazdziernik2024!$A$2:$D$96</definedName>
    <definedName hidden="1" localSheetId="14" name="Z_DB56FE4D_69BC_4E44_A2B9_5F7BA227A86E_.wvu.FilterData">wrzesien2024!$A$2:$D$96</definedName>
    <definedName hidden="1" localSheetId="15" name="Z_DB56FE4D_69BC_4E44_A2B9_5F7BA227A86E_.wvu.FilterData">sierpien2024!$A$2:$D$108</definedName>
    <definedName hidden="1" localSheetId="16" name="Z_DB56FE4D_69BC_4E44_A2B9_5F7BA227A86E_.wvu.FilterData">lipiec2024!$A$2:$D$96</definedName>
    <definedName hidden="1" localSheetId="17" name="Z_DB56FE4D_69BC_4E44_A2B9_5F7BA227A86E_.wvu.FilterData">czerwiec2024!$A$2:$D$96</definedName>
    <definedName hidden="1" localSheetId="18" name="Z_DB56FE4D_69BC_4E44_A2B9_5F7BA227A86E_.wvu.FilterData">'maj2024'!$A$2:$D$94</definedName>
    <definedName hidden="1" localSheetId="19" name="Z_DB56FE4D_69BC_4E44_A2B9_5F7BA227A86E_.wvu.FilterData">kwiecien2024!$A$2:$D$96</definedName>
    <definedName hidden="1" localSheetId="20" name="Z_DB56FE4D_69BC_4E44_A2B9_5F7BA227A86E_.wvu.FilterData">marzec2024!$A$2:$D$93</definedName>
    <definedName hidden="1" localSheetId="21" name="Z_DB56FE4D_69BC_4E44_A2B9_5F7BA227A86E_.wvu.FilterData">luty2024!$A$2:$D$97</definedName>
    <definedName hidden="1" localSheetId="22" name="Z_DB56FE4D_69BC_4E44_A2B9_5F7BA227A86E_.wvu.FilterData">styczen2024!$A$2:$D$96</definedName>
    <definedName hidden="1" localSheetId="23" name="Z_DB56FE4D_69BC_4E44_A2B9_5F7BA227A86E_.wvu.FilterData">grudzien2023!$A$2:$D$96</definedName>
    <definedName hidden="1" localSheetId="24" name="Z_DB56FE4D_69BC_4E44_A2B9_5F7BA227A86E_.wvu.FilterData">listopad2023!$A$2:$D$96</definedName>
    <definedName hidden="1" localSheetId="25" name="Z_DB56FE4D_69BC_4E44_A2B9_5F7BA227A86E_.wvu.FilterData">pazdziernik2023!$A$2:$D$96</definedName>
    <definedName hidden="1" localSheetId="26" name="Z_DB56FE4D_69BC_4E44_A2B9_5F7BA227A86E_.wvu.FilterData">wrzesien2023!$A$2:$D$96</definedName>
    <definedName hidden="1" localSheetId="27" name="Z_DB56FE4D_69BC_4E44_A2B9_5F7BA227A86E_.wvu.FilterData">sierpien2023!$A$2:$D$96</definedName>
    <definedName hidden="1" localSheetId="28" name="Z_DB56FE4D_69BC_4E44_A2B9_5F7BA227A86E_.wvu.FilterData">lipiec2023!$A$2:$D$96</definedName>
    <definedName hidden="1" localSheetId="29" name="Z_DB56FE4D_69BC_4E44_A2B9_5F7BA227A86E_.wvu.FilterData">czerwiec2023!$A$2:$D$96</definedName>
    <definedName hidden="1" localSheetId="30" name="Z_DB56FE4D_69BC_4E44_A2B9_5F7BA227A86E_.wvu.FilterData">'maj2023'!$A$2:$D$96</definedName>
    <definedName hidden="1" localSheetId="31" name="Z_DB56FE4D_69BC_4E44_A2B9_5F7BA227A86E_.wvu.FilterData">kwiecien2023!$A$2:$D$96</definedName>
    <definedName hidden="1" localSheetId="32" name="Z_DB56FE4D_69BC_4E44_A2B9_5F7BA227A86E_.wvu.FilterData">marzec2023!$A$2:$D$96</definedName>
    <definedName hidden="1" localSheetId="33" name="Z_DB56FE4D_69BC_4E44_A2B9_5F7BA227A86E_.wvu.FilterData">luty2023!$A$2:$D$96</definedName>
    <definedName hidden="1" localSheetId="34" name="Z_DB56FE4D_69BC_4E44_A2B9_5F7BA227A86E_.wvu.FilterData">styczen2023!$A$2:$D$96</definedName>
    <definedName hidden="1" localSheetId="35" name="Z_DB56FE4D_69BC_4E44_A2B9_5F7BA227A86E_.wvu.FilterData">grudzien2022!$A$2:$D$100</definedName>
    <definedName hidden="1" localSheetId="36" name="Z_DB56FE4D_69BC_4E44_A2B9_5F7BA227A86E_.wvu.FilterData">listopad2022!$A$2:$D$89</definedName>
    <definedName hidden="1" localSheetId="37" name="Z_DB56FE4D_69BC_4E44_A2B9_5F7BA227A86E_.wvu.FilterData">pazdziernik2022!$A$2:$D$89</definedName>
    <definedName hidden="1" localSheetId="38" name="Z_DB56FE4D_69BC_4E44_A2B9_5F7BA227A86E_.wvu.FilterData">wrzesien2022!$A$2:$D$94</definedName>
    <definedName hidden="1" localSheetId="39" name="Z_DB56FE4D_69BC_4E44_A2B9_5F7BA227A86E_.wvu.FilterData">sierpien2022!$A$2:$D$93</definedName>
    <definedName hidden="1" localSheetId="40" name="Z_DB56FE4D_69BC_4E44_A2B9_5F7BA227A86E_.wvu.FilterData">lipiec2022!$A$2:$D$87</definedName>
    <definedName hidden="1" localSheetId="41" name="Z_DB56FE4D_69BC_4E44_A2B9_5F7BA227A86E_.wvu.FilterData">czerwiec2022!$A$2:$D$87</definedName>
    <definedName hidden="1" localSheetId="42" name="Z_DB56FE4D_69BC_4E44_A2B9_5F7BA227A86E_.wvu.FilterData">'maj2022'!$A$2:$D$87</definedName>
    <definedName hidden="1" localSheetId="43" name="Z_DB56FE4D_69BC_4E44_A2B9_5F7BA227A86E_.wvu.FilterData">'kwiecień2022'!$A$2:$D$87</definedName>
    <definedName hidden="1" localSheetId="44" name="Z_DB56FE4D_69BC_4E44_A2B9_5F7BA227A86E_.wvu.FilterData">marzec2022!$A$2:$D$87</definedName>
    <definedName hidden="1" localSheetId="45" name="Z_DB56FE4D_69BC_4E44_A2B9_5F7BA227A86E_.wvu.FilterData">luty2022!$A$2:$D$87</definedName>
    <definedName hidden="1" localSheetId="46" name="Z_DB56FE4D_69BC_4E44_A2B9_5F7BA227A86E_.wvu.FilterData">'styczeń2022'!$A$2:$D$88</definedName>
    <definedName hidden="1" localSheetId="47" name="Z_DB56FE4D_69BC_4E44_A2B9_5F7BA227A86E_.wvu.FilterData">'grudzień2021'!$A$2:$D$86</definedName>
    <definedName hidden="1" localSheetId="48" name="Z_DB56FE4D_69BC_4E44_A2B9_5F7BA227A86E_.wvu.FilterData">listopad2021!$A$2:$D$86</definedName>
    <definedName hidden="1" localSheetId="49" name="Z_DB56FE4D_69BC_4E44_A2B9_5F7BA227A86E_.wvu.FilterData">'październik2021'!$A$2:$D$86</definedName>
    <definedName hidden="1" localSheetId="50" name="Z_DB56FE4D_69BC_4E44_A2B9_5F7BA227A86E_.wvu.FilterData">'wrzesień2021'!$A$2:$D$86</definedName>
    <definedName hidden="1" localSheetId="51" name="Z_DB56FE4D_69BC_4E44_A2B9_5F7BA227A86E_.wvu.FilterData">'sierpień2021'!$A$2:$D$86</definedName>
    <definedName hidden="1" localSheetId="52" name="Z_DB56FE4D_69BC_4E44_A2B9_5F7BA227A86E_.wvu.FilterData">lipiec2021!$A$2:$D$86</definedName>
    <definedName hidden="1" localSheetId="53" name="Z_DB56FE4D_69BC_4E44_A2B9_5F7BA227A86E_.wvu.FilterData">czerwiec2021!$A$2:$D$86</definedName>
  </definedNames>
  <calcPr/>
  <customWorkbookViews>
    <customWorkbookView activeSheetId="0" maximized="1" windowHeight="0" windowWidth="0" guid="{DB56FE4D-69BC-4E44-A2B9-5F7BA227A86E}" name="Filtr 2"/>
    <customWorkbookView activeSheetId="0" maximized="1" windowHeight="0" windowWidth="0" guid="{E969E989-0C31-444B-8C15-CA7195A654B3}" name="Filtr 1"/>
    <customWorkbookView activeSheetId="0" maximized="1" windowHeight="0" windowWidth="0" guid="{274A18ED-3EEE-404A-82AF-9767D45217F0}" name="fun"/>
  </customWorkbookViews>
  <pivotCaches>
    <pivotCache cacheId="0" r:id="rId71"/>
    <pivotCache cacheId="1" r:id="rId72"/>
    <pivotCache cacheId="2" r:id="rId73"/>
    <pivotCache cacheId="3" r:id="rId74"/>
    <pivotCache cacheId="4" r:id="rId75"/>
    <pivotCache cacheId="5" r:id="rId76"/>
    <pivotCache cacheId="6" r:id="rId77"/>
    <pivotCache cacheId="7" r:id="rId78"/>
    <pivotCache cacheId="8" r:id="rId79"/>
    <pivotCache cacheId="9" r:id="rId80"/>
    <pivotCache cacheId="10" r:id="rId81"/>
    <pivotCache cacheId="11" r:id="rId82"/>
    <pivotCache cacheId="12" r:id="rId83"/>
    <pivotCache cacheId="13" r:id="rId84"/>
    <pivotCache cacheId="14" r:id="rId85"/>
    <pivotCache cacheId="15" r:id="rId86"/>
    <pivotCache cacheId="16" r:id="rId87"/>
    <pivotCache cacheId="17" r:id="rId88"/>
    <pivotCache cacheId="18" r:id="rId89"/>
    <pivotCache cacheId="19" r:id="rId90"/>
    <pivotCache cacheId="20" r:id="rId91"/>
    <pivotCache cacheId="21" r:id="rId92"/>
    <pivotCache cacheId="22" r:id="rId93"/>
    <pivotCache cacheId="23" r:id="rId94"/>
    <pivotCache cacheId="24" r:id="rId95"/>
    <pivotCache cacheId="25" r:id="rId96"/>
    <pivotCache cacheId="26" r:id="rId97"/>
    <pivotCache cacheId="27" r:id="rId98"/>
    <pivotCache cacheId="28" r:id="rId99"/>
    <pivotCache cacheId="29" r:id="rId100"/>
    <pivotCache cacheId="30" r:id="rId101"/>
    <pivotCache cacheId="31" r:id="rId102"/>
  </pivotCaches>
</workbook>
</file>

<file path=xl/sharedStrings.xml><?xml version="1.0" encoding="utf-8"?>
<sst xmlns="http://schemas.openxmlformats.org/spreadsheetml/2006/main" count="8639" uniqueCount="1468">
  <si>
    <t>wydatki</t>
  </si>
  <si>
    <t>przychody</t>
  </si>
  <si>
    <t>stan konta</t>
  </si>
  <si>
    <t>wydatki bez kosztów stałych</t>
  </si>
  <si>
    <t>zaoszczędzone</t>
  </si>
  <si>
    <t>zaoszczedzone log</t>
  </si>
  <si>
    <t>lipiec2020</t>
  </si>
  <si>
    <t>sierpien2020</t>
  </si>
  <si>
    <t>wrzesień2020</t>
  </si>
  <si>
    <t>październik2020</t>
  </si>
  <si>
    <t>listopad2020</t>
  </si>
  <si>
    <t>grudzien2020</t>
  </si>
  <si>
    <t>styczen2021</t>
  </si>
  <si>
    <t>luty2021</t>
  </si>
  <si>
    <t>marzec2021</t>
  </si>
  <si>
    <t>kwiecień2021</t>
  </si>
  <si>
    <t>czerwiec2022</t>
  </si>
  <si>
    <t>lipiec2022</t>
  </si>
  <si>
    <t>sierpien2022</t>
  </si>
  <si>
    <t>wrzesien2022</t>
  </si>
  <si>
    <t>pazdziernik2022</t>
  </si>
  <si>
    <t>listopad2022</t>
  </si>
  <si>
    <t>grudzien2022</t>
  </si>
  <si>
    <t>styczen2023</t>
  </si>
  <si>
    <t>luty2023</t>
  </si>
  <si>
    <t>marzec2023</t>
  </si>
  <si>
    <t>kwiecien2023</t>
  </si>
  <si>
    <t>Przychody</t>
  </si>
  <si>
    <t>Stan konta na początku miesiąca</t>
  </si>
  <si>
    <t>Koszty stałe</t>
  </si>
  <si>
    <t>kategoria</t>
  </si>
  <si>
    <t>kwota</t>
  </si>
  <si>
    <t>opis</t>
  </si>
  <si>
    <t>data</t>
  </si>
  <si>
    <t>sml</t>
  </si>
  <si>
    <t>zus</t>
  </si>
  <si>
    <t>biedronka</t>
  </si>
  <si>
    <t>przejazdy</t>
  </si>
  <si>
    <t>Nazwa odbiorcy: MOBILE-TRAFFIC-DATA SP. Z O. O. Adres odbiorcy: UL. DRUŻBICKIEGO 11 61-693 POZNAŃ Tytuł: ZAKUP BILETU KOMUNIKACYJNEGO W APLI KACJI IKO  Referencje własne zleceniodawcy: 176171147909 (5.00 PLN)</t>
  </si>
  <si>
    <t>skąd?</t>
  </si>
  <si>
    <t>PIT36</t>
  </si>
  <si>
    <t>żabka</t>
  </si>
  <si>
    <t>kawa</t>
  </si>
  <si>
    <t>Tytuł:  74838495271331029792336  Lokalizacja: Adres: PL SBX POZNAN KAPONIERA Miasto: POZNAN Kraj: POLSKA Data wykonania operacji: 2025-09-28 02:00 Oryginalna kwota operacji: 23.90 Numer karty: 425125******0264 (23.90 PLN)</t>
  </si>
  <si>
    <t>Nazwa odbiorcy: MOBILE-TRAFFIC-DATA SP. Z O. O. Adres odbiorcy: UL. DRUŻBICKIEGO 11 61-693 POZNAŃ Tytuł: ZAKUP BILETU KOMUNIKACYJNEGO W APLI KACJI IKO  Referencje własne zleceniodawcy: 176170813393 (5.00 PLN)</t>
  </si>
  <si>
    <t>sml prezent</t>
  </si>
  <si>
    <t>VAT</t>
  </si>
  <si>
    <t>auto</t>
  </si>
  <si>
    <t>Tytuł:  74838495271330989542053  Lokalizacja: Adres: AGRAWKA Miasto: POZNAN Kraj: POLSKA Data wykonania operacji: 2025-09-28 02:00 Oryginalna kwota operacji: 36.00 Numer karty: 425125******0264 (36.00 PLN)</t>
  </si>
  <si>
    <t>Tytuł: 000498849 74230785285177549416712  Lokalizacja: Adres: NETTO 5304 SCO K.3 Miasto: POZNAN Kraj: POLSKA Data wykonania operacji: 2025-10-11 02:00 Oryginalna kwota operacji: 15.48 Numer karty: 425125******0264 (15.48 PLN)</t>
  </si>
  <si>
    <t>mieszkanie</t>
  </si>
  <si>
    <t>paliwo</t>
  </si>
  <si>
    <t>Rachunek odbiorcy: 73 1090 2372 0000 0001 1332 9442 Nazwa odbiorcy: MARTA SZCZYGIEŁ Tytuł: PRZELEW NA TELEFON  OD: 48796555364 DO: 486*****967 (320.00 PLN)</t>
  </si>
  <si>
    <t>Tytuł: 000498849 74230785285177534219758  Lokalizacja: Adres: STRONA Miasto: POZNAN Kraj: POLSKA Data wykonania operacji: 2025-10-11 02:00 Oryginalna kwota operacji: 26.00 Numer karty: 425125******0264 (26.00 PLN)</t>
  </si>
  <si>
    <t>SUM z kwota</t>
  </si>
  <si>
    <t>kredyt</t>
  </si>
  <si>
    <t>fun</t>
  </si>
  <si>
    <t>Nazwa odbiorcy: MOBILE-TRAFFIC-DATA SP. Z O. O. Adres odbiorcy: UL. DRUŻBICKIEGO 11 61-693 POZNAŃ Tytuł: ZAKUP BILETU KOMUNIKACYJNEGO W APLI KACJI IKO  Referencje własne zleceniodawcy: 176117332131 (5.00 PLN)</t>
  </si>
  <si>
    <t>biuro</t>
  </si>
  <si>
    <t>Tytuł: 010061097 74169505284622844453512  Lokalizacja: Adres: FHU OFFICE ART SCHOOL SC Miasto: POZNAN Kraj: POLSKA Data wykonania operacji: 2025-10-11 02:00 Oryginalna kwota operacji: 18.90 Numer karty: 425125******0264 (18.90 PLN)</t>
  </si>
  <si>
    <t>Nazwa odbiorcy: MOBILE-TRAFFIC-DATA SP. Z O. O. Adres odbiorcy: UL. DRUŻBICKIEGO 11 61-693 POZNAŃ Tytuł: ZAKUP BILETU KOMUNIKACYJNEGO W APLI KACJI IKO  Referencje własne zleceniodawcy: 176117028129 (5.00 PLN)</t>
  </si>
  <si>
    <t>Tytuł: 010066928 74056285284109308718312  Lokalizacja: Adres: APPLE.COM/BILL Miasto: APPLE.COM/BIL Kraj: IRLANDIA Data wykonania operacji: 2025-10-11 02:00 Oryginalna kwota operacji: 129.99 Numer karty: 425125******0264 (129.99 PLN)</t>
  </si>
  <si>
    <t>restauracje</t>
  </si>
  <si>
    <t>Tytuł: 010046551 74230105270060695629718  Lokalizacja: Adres: PATILA DONER KEBAP Miasto: WARSZAWA Kraj: POLSKA Data wykonania operacji: 2025-09-27 02:00 Oryginalna kwota operacji: 33.00 Numer karty: 425125******0264 (33.00 PLN)</t>
  </si>
  <si>
    <t>Tytuł: 010061097 74169505283652832785030  Lokalizacja: Adres: FABRYKA FORMY POZNAN BALT Miasto: POZNAN Kraj: POLSKA Data wykonania operacji: 2025-10-10 02:00 Oryginalna kwota operacji: 4.50 Numer karty: 425125******0264 (4.50 PLN)</t>
  </si>
  <si>
    <t>Tytuł:  74838495270330831227797  Lokalizacja: Adres: ALL GOOD S.A. KAWIARNIA Miasto: WARSZAWA Kraj: POLSKA Data wykonania operacji: 2025-09-27 02:00 Oryginalna kwota operacji: 22.00 Numer karty: 425125******0264 (22.00 PLN)</t>
  </si>
  <si>
    <t>Tytuł: 010061097 74169505283652832784975  Lokalizacja: Adres: FABRYKA FORMY POZNAN BALT Miasto: POZNAN Kraj: POLSKA Data wykonania operacji: 2025-10-10 02:00 Oryginalna kwota operacji: 25.00 Numer karty: 425125******0264 (25.00 PLN)</t>
  </si>
  <si>
    <t>Tytuł:  74838495270330948540132  Lokalizacja: Adres: ME M03 02 Miasto: POZNAN Kraj: POLSKA Data wykonania operacji: 2025-09-27 02:00 Oryginalna kwota operacji: 59.98 Numer karty: 425125******0264 (59.98 PLN)</t>
  </si>
  <si>
    <t>Tytuł:  74810315283172414272346  Lokalizacja: Adres: Mowish Mash Miasto: Poznan Kraj: POLSKA Data wykonania operacji: 2025-10-10 02:00 Oryginalna kwota operacji: 75.00 Numer karty: 425125******0264 (75.00 PLN)</t>
  </si>
  <si>
    <t>Tytuł:  74838495271330946294426  Lokalizacja: Adres: LIDL GLOGOWSKA Miasto: Poznan Kraj: POLSKA Data wykonania operacji: 2025-09-27 02:00 Oryginalna kwota operacji: 376.72 Numer karty: 425125******0264 (376.72 PLN)</t>
  </si>
  <si>
    <t>Tytuł:  74810315283172414782427  Lokalizacja: Adres: Maselko Miasto: Poznan Kraj: POLSKA Data wykonania operacji: 2025-10-10 02:00 Oryginalna kwota operacji: 18.00 Numer karty: 425125******0264 (18.00 PLN)</t>
  </si>
  <si>
    <t>Tytuł:  74838495270330817887705  Lokalizacja: Adres: ALL GOOD S.A. KAWIARNIA Miasto: WARSZAWA Kraj: POLSKA Data wykonania operacji: 2025-09-27 02:00 Oryginalna kwota operacji: 51.00 Numer karty: 425125******0264 (51.00 PLN)</t>
  </si>
  <si>
    <t>Tytuł: 010059127 74062945282143299379290  Lokalizacja: Adres: www.inpost.pl Miasto: KRAKOW Kraj: POLSKA Data wykonania operacji: 2025-10-09 02:00 Oryginalna kwota operacji: 20.99 Numer karty: 425125******0264 (20.99 PLN)</t>
  </si>
  <si>
    <t>lekarz</t>
  </si>
  <si>
    <t>Tytuł:  74810315270171203357685  Lokalizacja: Adres: WARS Automat vendingowy Miasto: Warszawa Kraj: POLSKA Data wykonania operacji: 2025-09-27 02:00 Oryginalna kwota operacji: 4.50 Numer karty: 425125******0264 (4.50 PLN)</t>
  </si>
  <si>
    <t>Tytuł: 000498849 74230785282177354256305  Lokalizacja: Adres: STRONA Miasto: POZNAN Kraj: POLSKA Data wykonania operacji: 2025-10-09 02:00 Oryginalna kwota operacji: 25.00 Numer karty: 425125******0264 (25.00 PLN)</t>
  </si>
  <si>
    <t>Tytuł:  74810315270171203487599  Lokalizacja: Adres: WARS Automat vendingowy Miasto: Warszawa Kraj: POLSKA Data wykonania operacji: 2025-09-27 02:00 Oryginalna kwota operacji: 4.50 Numer karty: 425125******0264 (4.50 PLN)</t>
  </si>
  <si>
    <t>Tytuł: 000498849 74230785282177375805239  Lokalizacja: Adres: ZABKA Z0685 K.1 Miasto: POZNAN Kraj: POLSKA Data wykonania operacji: 2025-10-09 02:00 Oryginalna kwota operacji: 6.00 Numer karty: 425125******0264 (6.00 PLN)</t>
  </si>
  <si>
    <t>Tytuł:  74838495269330672967710  Lokalizacja: Adres: ALL GOOD S.A. KAWIARNIA Miasto: WARSZAWA Kraj: POLSKA Data wykonania operacji: 2025-09-26 02:00 Oryginalna kwota operacji: 129.00 Numer karty: 425125******0264 (129.00 PLN)</t>
  </si>
  <si>
    <t>Tytuł: 000498849 74230785283177400441306  Lokalizacja: Adres: NETTO 5304 SCO K.3 Miasto: POZNAN Kraj: POLSKA Data wykonania operacji: 2025-10-09 02:00 Oryginalna kwota operacji: 54.85 Numer karty: 425125******0264 (54.85 PLN)</t>
  </si>
  <si>
    <t>rossman</t>
  </si>
  <si>
    <t>Tytuł: 000498849 74230785269176550658733  Lokalizacja: Adres: ZABKA ZE578 K.2 Miasto: WARSZAWA Kraj: POLSKA Data wykonania operacji: 2025-09-26 02:00 Oryginalna kwota operacji: 7.49 Numer karty: 425125******0264 (7.49 PLN)</t>
  </si>
  <si>
    <t>Tytuł: 000498849 74230785283177398596624  Lokalizacja: Adres: NETTO 5304 SCO K.2 Miasto: POZNAN Kraj: POLSKA Data wykonania operacji: 2025-10-09 02:00 Oryginalna kwota operacji: 23.18 Numer karty: 425125******0264 (23.18 PLN)</t>
  </si>
  <si>
    <t>Tytuł:  74838495269330664839331  Lokalizacja: Adres: ALL GOOD S.A. KAWIARNIA Miasto: WARSZAWA Kraj: POLSKA Data wykonania operacji: 2025-09-26 02:00 Oryginalna kwota operacji: 18.00 Numer karty: 425125******0264 (18.00 PLN)</t>
  </si>
  <si>
    <t>Tytuł:  74988855281401316671161  Lokalizacja: Adres: JMIDF SP.Z.O.O.HEBE R052 Miasto: POZNAN Kraj: POLSKA Data wykonania operacji: 2025-10-08 02:00 Oryginalna kwota operacji: 73.67 Numer karty: 425125******0264 (73.67 PLN)</t>
  </si>
  <si>
    <t>Suma całkowita</t>
  </si>
  <si>
    <t>Tytuł:  74838495269330751459829  Lokalizacja: Adres: LOUVRE HOTELS GROUP 01 Miasto: Warszawa Kraj: POLSKA Data wykonania operacji: 2025-09-26 02:00 Oryginalna kwota operacji: 24.00 Numer karty: 425125******0264 (24.00 PLN)</t>
  </si>
  <si>
    <t>Tytuł:  74838495282332376331253  Lokalizacja: Adres: ROSSMANN 11 Miasto: Poznan Kraj: POLSKA Data wykonania operacji: 2025-10-08 02:00 Oryginalna kwota operacji: 16.97 Numer karty: 425125******0264 (16.97 PLN)</t>
  </si>
  <si>
    <t>Tytuł: 000498849 74230785269176569428417  Lokalizacja: Adres: TADIM DONER GRILL Miasto: WARSZAWA Kraj: POLSKA Data wykonania operacji: 2025-09-26 02:00 Oryginalna kwota operacji: 32.00 Numer karty: 425125******0264 (32.00 PLN)</t>
  </si>
  <si>
    <t>Tytuł: 000498707 74987075281033824464296  Lokalizacja: Adres: oleole.pl Miasto: Warszawa Kraj: POLSKA Data wykonania operacji: 2025-10-07 02:00 Oryginalna kwota operacji: 238.00 Numer karty: 425125******0264 (238.00 PLN)</t>
  </si>
  <si>
    <t>Tytuł:  74838495269330652892482  Lokalizacja: Adres: ALL GOOD S.A. KAWIARNIA Miasto: WARSZAWA Kraj: POLSKA Data wykonania operacji: 2025-09-26 02:00 Oryginalna kwota operacji: 36.00 Numer karty: 425125******0264 (36.00 PLN)</t>
  </si>
  <si>
    <t>Tytuł: 010072805 24871155280135442499367  Lokalizacja: Adres: ALIEXPRESS.COM Miasto: Luxembourg Kraj: LUKSEMBURG Data wykonania operacji: 2025-10-07 02:00 Oryginalna kwota operacji: 53.86 Numer karty: 425125******0264 (53.86 PLN)</t>
  </si>
  <si>
    <t>Tytuł:  74838495270330724922751  Lokalizacja: Adres: ROSSMANN 134 Miasto: WARSZAWA Kraj: POLSKA Data wykonania operacji: 2025-09-26 02:00 Oryginalna kwota operacji: 17.48 Numer karty: 425125******0264 (17.48 PLN)</t>
  </si>
  <si>
    <t>Tytuł: 000498849 74230785280177237349006  Lokalizacja: Adres: ZABKA Z0685 K.1 Miasto: POZNAN Kraj: POLSKA Data wykonania operacji: 2025-10-07 02:00 Oryginalna kwota operacji: 4.50 Numer karty: 425125******0264 (4.50 PLN)</t>
  </si>
  <si>
    <t>Tytuł: 000498849 74230785269176548066429  Lokalizacja: Adres: ZABKA Z7579 K.1 Miasto: POZNAN Kraj: POLSKA Data wykonania operacji: 2025-09-26 02:00 Oryginalna kwota operacji: 3.40 Numer karty: 425125******0264 (3.40 PLN)</t>
  </si>
  <si>
    <t>Tytuł: 010082965 74987075280033778333753  Lokalizacja: Adres: Allegro Miasto: Poznan Kraj: POLSKA Data wykonania operacji: 2025-10-06 02:00 Oryginalna kwota operacji: 88.80 Numer karty: 425125******0264 (88.80 PLN)</t>
  </si>
  <si>
    <t>Tytuł: 010075642 74987505267002215223060  Lokalizacja: Adres: aliexpress Miasto: Luxembourg Kraj: LUKSEMBURG Data wykonania operacji: 2025-09-24 02:00 Oryginalna kwota operacji: 192.36 Numer karty: 425125******0264 (192.36 PLN)</t>
  </si>
  <si>
    <t>Tytuł: 010061097 74169505279612791496124  Lokalizacja: Adres: PRACOWNIA PSYCHOLOGICZNA Miasto: POZNAN Kraj: POLSKA Data wykonania operacji: 2025-10-06 02:00 Oryginalna kwota operacji: 250.00 Numer karty: 425125******0264 (250.00 PLN)</t>
  </si>
  <si>
    <t>Tytuł: 000498849 74230785267176406506559  Lokalizacja: Adres: STRONA Miasto: POZNAN Kraj: POLSKA Data wykonania operacji: 2025-09-24 02:00 Oryginalna kwota operacji: 35.00 Numer karty: 425125******0264 (35.00 PLN)</t>
  </si>
  <si>
    <t>Tytuł: S1PO2028 1709 00000091170430632   Numer telefonu: 48796555364 Lokalizacja: Adres: UL. ROOSEVELTA 11 Miasto: POZNAN Kraj: POLSKA Bankomat: S1PO2028 'Operacja: 1709 00000091170430632 Numer referencyjny: 1709 00000091170430632 (500.00 PLN)</t>
  </si>
  <si>
    <t>Nazwa odbiorcy: MOBILE-TRAFFIC-DATA SP. Z O. O. Adres odbiorcy: UL. DRUŻBICKIEGO 11 61-693 POZNAŃ Tytuł: ZAKUP BILETU KOMUNIKACYJNEGO W APLI KACJI IKO  Referencje własne zleceniodawcy: 176107766843 (5.00 PLN)</t>
  </si>
  <si>
    <t>Tytuł: 010082965 74987075279033766092885  Lokalizacja: Adres: Allegro Miasto: Poznan Kraj: POLSKA Data wykonania operacji: 2025-10-05 02:00 Oryginalna kwota operacji: 224.00 Numer karty: 425125******0264 (224.00 PLN)</t>
  </si>
  <si>
    <t>Tytuł: 010061097 74463675266502673499677  Lokalizacja: Adres: WWW BILKOM PL Miasto: WARSZAWA Kraj: POLSKA Data wykonania operacji: 2025-09-23 02:00 Oryginalna kwota operacji: 69.00 Numer karty: 425125******0264 (69.00 PLN)</t>
  </si>
  <si>
    <t>Tytuł: 000498849 74230785278177123011169  Lokalizacja: Adres: STRONA Miasto: POZNAN Kraj: POLSKA Data wykonania operacji: 2025-10-05 02:00 Oryginalna kwota operacji: 43.00 Numer karty: 425125******0264 (43.00 PLN)</t>
  </si>
  <si>
    <t>Tytuł: 010082965 74987075267033369924975  Lokalizacja: Adres: Allegro Miasto: Poznan Kraj: POLSKA Data wykonania operacji: 2025-09-23 02:00 Oryginalna kwota operacji: 154.99 Numer karty: 425125******0264 (154.99 PLN)</t>
  </si>
  <si>
    <t>Tytuł: S1WR3335 6617 00000091097049233   Numer telefonu: 48796555364 Lokalizacja: Adres: PL. GRUNWALDZKI 22 Miasto: WROCLAW Kraj: POLSKA Bankomat: S1WR3335 'Operacja: 6617 00000091097049233 Numer referencyjny: 6617 00000091097049233 (400.00 PLN)</t>
  </si>
  <si>
    <t>Tytuł: 010061097 74463675266502673498729  Lokalizacja: Adres: WWW BILKOM PL Miasto: WARSZAWA Kraj: POLSKA Data wykonania operacji: 2025-09-23 02:00 Oryginalna kwota operacji: 69.00 Numer karty: 425125******0264 (69.00 PLN)</t>
  </si>
  <si>
    <t>Nazwa odbiorcy: MOBILE-TRAFFIC-DATA SP. Z O. O. Adres odbiorcy: UL. DRUŻBICKIEGO 11 61-693 POZNAŃ Tytuł: ZAKUP BILETU KOMUNIKACYJNEGO W APLI KACJI IKO  Referencje własne zleceniodawcy: 176143454089 (5.00 PLN)</t>
  </si>
  <si>
    <t>Tytuł: 000498849 74230785266176356630012  Lokalizacja: Adres: ZABKA Z0685 K.1 Miasto: POZNAN Kraj: POLSKA Data wykonania operacji: 2025-09-23 02:00 Oryginalna kwota operacji: 6.70 Numer karty: 425125******0264 (6.70 PLN)</t>
  </si>
  <si>
    <t>Nazwa odbiorcy: MOBILE-TRAFFIC-DATA SP. Z O. O. Adres odbiorcy: UL. DRUŻBICKIEGO 11 61-693 POZNAŃ Tytuł: ZAKUP BILETU KOMUNIKACYJNEGO W APLI KACJI IKO  Referencje własne zleceniodawcy: 176143109081 (5.00 PLN)</t>
  </si>
  <si>
    <t>Tytuł:  74838495266330165208153  Lokalizacja: Adres: PL KFC MOP MORZECINO S5 Miasto: MORZECINO Kraj: POLSKA Data wykonania operacji: 2025-09-22 02:00 Oryginalna kwota operacji: 39.98 Numer karty: 425125******0264 (39.98 PLN)</t>
  </si>
  <si>
    <t>Tytuł: 010046551 74230105277060857298966  Lokalizacja: Adres: ZIOMAL DARIA JEZEWSKA Miasto: POZNAN Kraj: POLSKA Data wykonania operacji: 2025-10-04 02:00 Oryginalna kwota operacji: 88.00 Numer karty: 425125******0264 (88.00 PLN)</t>
  </si>
  <si>
    <t>Tytuł:  74810315264170598641404  Lokalizacja: Adres: MYJNIA HENRYK DLUGOSZ Miasto: Kuznia Racibo Kraj: POLSKA Data wykonania operacji: 2025-09-21 02:00 Oryginalna kwota operacji: 4.00 Numer karty: 425125******0264 (4.00 PLN)</t>
  </si>
  <si>
    <t>Tytuł: 000498849 74230785278177102282468  Lokalizacja: Adres: TRANSGOURMET Miasto: POZNAN Kraj: POLSKA Data wykonania operacji: 2025-10-04 02:00 Oryginalna kwota operacji: 301.66 Numer karty: 425125******0264 (301.66 PLN)</t>
  </si>
  <si>
    <t>Tytuł: 000498849 74230785264176192575225  Lokalizacja: Adres: STRONA Miasto: POZNAN Kraj: POLSKA Data wykonania operacji: 2025-09-20 02:00 Oryginalna kwota operacji: 40.00 Numer karty: 425125******0264 (40.00 PLN)</t>
  </si>
  <si>
    <t>Tytuł: 010085232 74350275276011830721604  Lokalizacja: Adres: Revolut**7108* Miasto: Dublin Kraj: IRLANDIA Data wykonania operacji: 2025-10-03 02:00 Oryginalna kwota operacji: 800.00 Numer karty: 425125******0264 (800.00 PLN)</t>
  </si>
  <si>
    <t>Tytuł:  74838495264329911833043  Lokalizacja: Adres: PL BK FOLWARK S5 MOP Miasto: DEBNO POLSKIE Kraj: POLSKA Data wykonania operacji: 2025-09-20 02:00 Oryginalna kwota operacji: 27.49 Numer karty: 425125******0264 (27.49 PLN)</t>
  </si>
  <si>
    <t>Tytuł: 010066928 74056285275101067579002  Lokalizacja: Adres: APPLE.COM/BILL Miasto: APPLE.COM/BIL Kraj: IRLANDIA Data wykonania operacji: 2025-10-02 02:00 Oryginalna kwota operacji: 59.99 Numer karty: 425125******0264 (59.99 PLN)</t>
  </si>
  <si>
    <t>Tytuł:  74810315263170545453789  Lokalizacja: Adres: MYJNIA HENRYK DLUGOSZ Miasto: Kuznia Racibo Kraj: POLSKA Data wykonania operacji: 2025-09-20 02:00 Oryginalna kwota operacji: 4.00 Numer karty: 425125******0264 (4.00 PLN)</t>
  </si>
  <si>
    <t>Tytuł: 000498849 74230785275176914537856  Lokalizacja: Adres: STRONA Miasto: POZNAN Kraj: POLSKA Data wykonania operacji: 2025-10-02 02:00 Oryginalna kwota operacji: 43.00 Numer karty: 425125******0264 (43.00 PLN)</t>
  </si>
  <si>
    <t>Tytuł: 000498849 74230785262176108661616  Lokalizacja: Adres: STRONA Miasto: POZNAN Kraj: POLSKA Data wykonania operacji: 2025-09-19 02:00 Oryginalna kwota operacji: 35.00 Numer karty: 425125******0264 (35.00 PLN)</t>
  </si>
  <si>
    <t>Tytuł: 000498849 74230785276176960343125  Lokalizacja: Adres: NETTO 5304 SCO K.3 Miasto: POZNAN Kraj: POLSKA Data wykonania operacji: 2025-10-02 02:00 Oryginalna kwota operacji: 65.34 Numer karty: 425125******0264 (65.34 PLN)</t>
  </si>
  <si>
    <t>Tytuł: 010061097 74169505261632617078674  Lokalizacja: Adres: PRACOWNIA PSYCHOLOGICZNA Miasto: POZNAN Kraj: POLSKA Data wykonania operacji: 2025-09-18 02:00 Oryginalna kwota operacji: 250.00 Numer karty: 425125******0264 (250.00 PLN)</t>
  </si>
  <si>
    <t>Rachunek odbiorcy: 73 1090 2372 0000 0001 1332 9442 Nazwa odbiorcy: MARTA SZCZYGIEŁ Tytuł: PRZELEW NA TELEFON  OD: 48796555364 DO: 486*****967 (1280.00 PLN)</t>
  </si>
  <si>
    <t>Tytuł:  74838495262329586955693  Lokalizacja: Adres: AUCHAN POLSKA SP. Z  02 Miasto: POZNAN Kraj: POLSKA Data wykonania operacji: 2025-09-18 02:00 Oryginalna kwota operacji: 149.99 Numer karty: 425125******0264 (149.99 PLN)</t>
  </si>
  <si>
    <t>Rachunek odbiorcy: 21 1940 1076 6256 6800 0000 0000 Nazwa odbiorcy: ADAM TYŻYK Tytuł: 12 MP/10/2025   Referencje własne zleceniodawcy: 176132872905 (363.00 PLN)</t>
  </si>
  <si>
    <t>Tytuł: 000498849 74230785261176013694869  Lokalizacja: Adres: ZABKA Z0685 K.1 Miasto: POZNAN Kraj: POLSKA Data wykonania operacji: 2025-09-18 02:00 Oryginalna kwota operacji: 6.98 Numer karty: 425125******0264 (6.98 PLN)</t>
  </si>
  <si>
    <t>Tytuł: 000498849 74230785274176825525413  Lokalizacja: Adres: NETTO 5304 SCO K.3 Miasto: POZNAN Kraj: POLSKA Data wykonania operacji: 2025-09-30 02:00 Oryginalna kwota operacji: 124.92 Numer karty: 425125******0264 (124.92 PLN)</t>
  </si>
  <si>
    <t>Tytuł:  74838495260329422575699  Lokalizacja: Adres: BRO. FOOD. BEER. CHILL. Miasto: POZNAN Kraj: POLSKA Data wykonania operacji: 2025-09-17 02:00 Oryginalna kwota operacji: 26.00 Numer karty: 425125******0264 (26.00 PLN)</t>
  </si>
  <si>
    <t>Tytuł: 010061097 74169505273642731200357  Lokalizacja: Adres: FABRYKA FORMY POZNAN BALT Miasto: POZNAN Kraj: POLSKA Data wykonania operacji: 2025-09-30 02:00 Oryginalna kwota operacji: 9.00 Numer karty: 425125******0264 (9.00 PLN)</t>
  </si>
  <si>
    <t>Nazwa odbiorcy: MOBILE-TRAFFIC-DATA SP. Z O. O. Adres odbiorcy: UL. DRUŻBICKIEGO 11 61-693 POZNAŃ Tytuł: ZAKUP BILETU KOMUNIKACYJNEGO W APLI KACJI IKO  Referencje własne zleceniodawcy: 176081731819 (5.00 PLN)</t>
  </si>
  <si>
    <t>Tytuł: 010061097 74169505273602737570849  Lokalizacja: Adres: PRACOWNIA PSYCHOLOGICZNA Miasto: POZNAN Kraj: POLSKA Data wykonania operacji: 2025-09-29 02:00 Oryginalna kwota operacji: 250.00 Numer karty: 425125******0264 (250.00 PLN)</t>
  </si>
  <si>
    <t>Nazwa odbiorcy: MOBILE-TRAFFIC-DATA SP. Z O. O. Adres odbiorcy: UL. DRUŻBICKIEGO 11 61-693 POZNAŃ Tytuł: ZAKUP BILETU KOMUNIKACYJNEGO W APLI KACJI IKO  Referencje własne zleceniodawcy: 176081449130 (5.00 PLN)</t>
  </si>
  <si>
    <t>Tytuł: 010079564 74609055272100084318933  Lokalizacja: Adres: WOLT Miasto: WARSAW Kraj: POLSKA Data wykonania operacji: 2025-09-29 02:00 Oryginalna kwota operacji: 59.40 Numer karty: 425125******0264 (59.40 PLN)</t>
  </si>
  <si>
    <t>Tytuł: 010066928 74056285259109272831134  Lokalizacja: Adres: APPLE.COM/BILL Miasto: APPLE.COM/BIL Kraj: IRLANDIA Data wykonania operacji: 2025-09-16 02:00 Oryginalna kwota operacji: 14.99 Numer karty: 425125******0264 (14.99 PLN)</t>
  </si>
  <si>
    <t>Orange Polska S.A. Aleje Jerozolims kie 160 02-326 Warszawa NIP 526-025 -09-95   F0083222849/010/25</t>
  </si>
  <si>
    <t>Tytuł: 000498849 74230785259175887298157  Lokalizacja: Adres: ZABKA Z0685 K.1 Miasto: POZNAN Kraj: POLSKA Data wykonania operacji: 2025-09-16 02:00 Oryginalna kwota operacji: 10.99 Numer karty: 425125******0264 (10.99 PLN)</t>
  </si>
  <si>
    <t>P4 Sp. z o.o. ul. Wynalazek 1 02-67 7 Warszawa   F/10170471/10/25</t>
  </si>
  <si>
    <t>Nazwa odbiorcy: MOBILE-TRAFFIC-DATA SP. Z O. O. Adres odbiorcy: UL. DRUŻBICKIEGO 11 61-693 POZNAŃ Tytuł: ZAKUP BILETU KOMUNIKACYJNEGO W APLI KACJI IKO  Referencje własne zleceniodawcy: 176080204077 (5.00 PLN)</t>
  </si>
  <si>
    <t>BNP Paribas Leasing Services Sp. z o.o. 00-844 Warszawa, ul.Grzybowska 78   40050/10/2025/RL/L</t>
  </si>
  <si>
    <t>Rachunek odbiorcy: 42 1090 1854 0000 0001 3287 4539 Nazwa odbiorcy: ODBIORCA PRZELEWU NA TELEFON Tytuł: PRZELEW NA TELEFON  OD: 48796555364 DO: 487*****756 (94.00 PLN)</t>
  </si>
  <si>
    <t>Nazwa odbiorcy: MOBILE-TRAFFIC-DATA SP. Z O. O. Adres odbiorcy: UL. DRUŻBICKIEGO 11 61-693 POZNAŃ Tytuł: ZAKUP BILETU KOMUNIKACYJNEGO W APLI KACJI IKO  Referencje własne zleceniodawcy: 176079130729 (5.00 PLN)</t>
  </si>
  <si>
    <t>Tytuł: 000498849 74230785258175820246603  Lokalizacja: Adres: ZABKA Z0685 K.1 Miasto: POZNAN Kraj: POLSKA Data wykonania operacji: 2025-09-15 02:00 Oryginalna kwota operacji: 10.99 Numer karty: 425125******0264 (10.99 PLN)</t>
  </si>
  <si>
    <t>Tytuł: 000498849 74230785257175765228195  Lokalizacja: Adres: STRONA Miasto: POZNAN Kraj: POLSKA Data wykonania operacji: 2025-09-14 02:00 Oryginalna kwota operacji: 73.00 Numer karty: 425125******0264 (73.00 PLN)</t>
  </si>
  <si>
    <t>Tytuł: 010061097 74169505257652570547420  Lokalizacja: Adres: FABRYKA FORMY POZNAN BALT Miasto: POZNAN Kraj: POLSKA Data wykonania operacji: 2025-09-14 02:00 Oryginalna kwota operacji: 5.50 Numer karty: 425125******0264 (5.50 PLN)</t>
  </si>
  <si>
    <t>Tytuł: 00000090722718578   Numer telefonu: 48796555364 Lokalizacja: Adres: doladowania.t-mobile.pl 'Operacja: 00000090722718578 Numer referencyjny: 00000090722718578 (25.00 PLN)</t>
  </si>
  <si>
    <t>Tytuł: 010046551 74230105256060365187268  Lokalizacja: Adres: ZIOMAL DARIA JEZEWSKA Miasto: POZNAN Kraj: POLSKA Data wykonania operacji: 2025-09-13 02:00 Oryginalna kwota operacji: 41.00 Numer karty: 425125******0264 (41.00 PLN)</t>
  </si>
  <si>
    <t>Tytuł: 000498849 74230785256175687558019  Lokalizacja: Adres: EKO LAND Miasto: POZNAN Kraj: POLSKA Data wykonania operacji: 2025-09-13 02:00 Oryginalna kwota operacji: 14.10 Numer karty: 425125******0264 (14.10 PLN)</t>
  </si>
  <si>
    <t>apteka</t>
  </si>
  <si>
    <t>Tytuł: 010061097 74169505256632566853538  Lokalizacja: Adres: APTEKA Miasto: POZNAN Kraj: POLSKA Data wykonania operacji: 2025-09-13 02:00 Oryginalna kwota operacji: 43.98 Numer karty: 425125******0264 (43.98 PLN)</t>
  </si>
  <si>
    <t>Tytuł:  74838495256328822897972  Lokalizacja: Adres: MARIETTA Miasto: POZNAN Kraj: POLSKA Data wykonania operacji: 2025-09-13 02:00 Oryginalna kwota operacji: 38.00 Numer karty: 425125******0264 (38.00 PLN)</t>
  </si>
  <si>
    <t>Tytuł: 010087885 74987505256000707494044  Lokalizacja: Adres: BsCaffe Grzegorz Bienko Miasto: Stalowa Wola Kraj: POLSKA Data wykonania operacji: 2025-09-13 02:00 Oryginalna kwota operacji: 220.99 Numer karty: 425125******0264 (220.99 PLN)</t>
  </si>
  <si>
    <t>Tytuł: 010061097 74463675256622560965085  Lokalizacja: Adres: OKRUSZKI EWA PLANK Miasto: POZNAN Kraj: POLSKA Data wykonania operacji: 2025-09-13 02:00 Oryginalna kwota operacji: 13.50 Numer karty: 425125******0264 (13.50 PLN)</t>
  </si>
  <si>
    <t>Tytuł: 000498849 74230785255175648069719  Lokalizacja: Adres: ZABKA Z0685 K.1 Miasto: POZNAN Kraj: POLSKA Data wykonania operacji: 2025-09-12 02:00 Oryginalna kwota operacji: 13.98 Numer karty: 425125******0264 (13.98 PLN)</t>
  </si>
  <si>
    <t>Tytuł: 000498849 74230785255175648061302  Lokalizacja: Adres: ZABKA Z0685 K.1 Miasto: POZNAN Kraj: POLSKA Data wykonania operacji: 2025-09-12 02:00 Oryginalna kwota operacji: 7.30 Numer karty: 425125******0264 (7.30 PLN)</t>
  </si>
  <si>
    <t>Tytuł: 000498849 74230785256175672143512  Lokalizacja: Adres: NETTO 5304 SCO K.1 Miasto: POZNAN Kraj: POLSKA Data wykonania operacji: 2025-09-12 02:00 Oryginalna kwota operacji: 32.95 Numer karty: 425125******0264 (32.95 PLN)</t>
  </si>
  <si>
    <t>Rachunek odbiorcy: 21 1020 4027 3011 0000 3014 3739 Nazwa odbiorcy: INEA SP. Z O.O. Tytuł: RACHUNEK INTERNET (103.50 PLN)</t>
  </si>
  <si>
    <t>Tytuł: 010061097 74169505252642523388464  Lokalizacja: Adres: FABRYKA FORMY POZNAN BALT Miasto: POZNAN Kraj: POLSKA Data wykonania operacji: 2025-09-09 02:00 Oryginalna kwota operacji: 4.50 Numer karty: 425125******0264 (4.50 PLN)</t>
  </si>
  <si>
    <t>Tytuł:  74838495252328072926665  Lokalizacja: Adres: AUCHAN POLSKA SP. Z  02 Miasto: POZNAN Kraj: POLSKA Data wykonania operacji: 2025-09-08 02:00 Oryginalna kwota operacji: 668.00 Numer karty: 425125******0264 (668.00 PLN)</t>
  </si>
  <si>
    <t>Tytuł: 010061097 74169505251612515283115  Lokalizacja: Adres: PRACOWNIA PSYCHOLOGICZNA Miasto: POZNAN Kraj: POLSKA Data wykonania operacji: 2025-09-08 02:00 Oryginalna kwota operacji: 250.00 Numer karty: 425125******0264 (250.00 PLN)</t>
  </si>
  <si>
    <t>Tytuł: 010059127 74043215250139959469942  Lokalizacja: Adres: PPO Ladek East Miasto: Ladek Kraj: POLSKA Data wykonania operacji: 2025-09-07 02:00 Oryginalna kwota operacji: 36.00 Numer karty: 425125******0264 (36.00 PLN)</t>
  </si>
  <si>
    <t>Tytuł: 010059127 74043215250139958594955  Lokalizacja: Adres: PPO Nagradowice East Miasto: Krerewo Kraj: POLSKA Data wykonania operacji: 2025-09-07 02:00 Oryginalna kwota operacji: 36.00 Numer karty: 425125******0264 (36.00 PLN)</t>
  </si>
  <si>
    <t>Tytuł: 00000090553699136   Numer telefonu: 48796555364 Lokalizacja: Adres: doladowania.t-mobile.pl 'Operacja: 00000090553699136 Numer referencyjny: 00000090553699136 (10.00 PLN)</t>
  </si>
  <si>
    <t>Tytuł: 00000090551791198   Numer telefonu: 48796555364 Lokalizacja: Adres: doladuj.plus.pl 'Operacja: 00000090551791198 Numer referencyjny: 00000090551791198 (10.00 PLN)</t>
  </si>
  <si>
    <t>Rachunek odbiorcy: 73 1090 2372 0000 0001 1332 9442 Nazwa odbiorcy: MARTA SZCZYGIEŁ Tytuł: PRZELEW NA TELEFON  OD: 48796555364 DO: 486*****967 (275.00 PLN)</t>
  </si>
  <si>
    <t>Nazwa odbiorcy: MOBILE-TRAFFIC-DATA SP. Z O. O. Adres odbiorcy: UL. DRUŻBICKIEGO 11 61-693 POZNAŃ Tytuł: ZAKUP BILETU KOMUNIKACYJNEGO W APLI KACJI IKO  Referencje własne zleceniodawcy: 176042656400 (5.00 PLN)</t>
  </si>
  <si>
    <t>Nazwa odbiorcy: MOBILE-TRAFFIC-DATA SP. Z O. O. Adres odbiorcy: UL. DRUŻBICKIEGO 11 61-693 POZNAŃ Tytuł: ZAKUP BILETU KOMUNIKACYJNEGO W APLI KACJI IKO  Referencje własne zleceniodawcy: 176042314377 (5.00 PLN)</t>
  </si>
  <si>
    <t>Tytuł: 000498849 74230785249175263651444  Lokalizacja: Adres: DINO DZIERZGOWO 1 K.1 Miasto: DZIERZGOWO Kraj: POLSKA Data wykonania operacji: 2025-09-06 02:00 Oryginalna kwota operacji: 51.99 Numer karty: 425125******0264 (51.99 PLN)</t>
  </si>
  <si>
    <t>Rachunek odbiorcy: 07 1140 2004 0000 3702 8112 2772 Nazwa odbiorcy: ODBIORCA PRZELEWU NA TELEFON Tytuł: PRZELEW NA TELEFON  OD: 48796555364 DO: 486*****680 (98.00 PLN)</t>
  </si>
  <si>
    <t>Tytuł: 000498849 74230785248175193049074  Lokalizacja: Adres: DINO DZIERZGOWO 1 K.1 Miasto: DZIERZGOWO Kraj: POLSKA Data wykonania operacji: 2025-09-05 02:00 Oryginalna kwota operacji: 88.39 Numer karty: 425125******0264 (88.39 PLN)</t>
  </si>
  <si>
    <t>Tytuł: 000498849 74230785248175185821290  Lokalizacja: Adres: ZABKA ZC500 K.1 Miasto: CHORZELE Kraj: POLSKA Data wykonania operacji: 2025-09-05 02:00 Oryginalna kwota operacji: 15.50 Numer karty: 425125******0264 (15.50 PLN)</t>
  </si>
  <si>
    <t>Tytuł:  74810315248168979236928  Lokalizacja: Adres: MARKET PRIM Miasto: Dzierzgowo Kraj: POLSKA Data wykonania operacji: 2025-09-05 02:00 Oryginalna kwota operacji: 33.97 Numer karty: 425125******0264 (33.97 PLN)</t>
  </si>
  <si>
    <t>Tytuł:  74838495248327493836740  Lokalizacja: Adres: ORLEN STACJA NR 4075 Miasto: KLODAWA Kraj: POLSKA Data wykonania operacji: 2025-09-04 02:00 Oryginalna kwota operacji: 22.97 Numer karty: 425125******0264 (22.97 PLN)</t>
  </si>
  <si>
    <t>Tytuł: 010059127 74043215247139666847337  Lokalizacja: Adres: PPO Ladek West Miasto: Ladek Kraj: POLSKA Data wykonania operacji: 2025-09-04 02:00 Oryginalna kwota operacji: 36.00 Numer karty: 425125******0264 (36.00 PLN)</t>
  </si>
  <si>
    <t>Tytuł:  74838495248327480366800  Lokalizacja: Adres: ORLEN STACJA NR 422 Miasto: POZNAN Kraj: POLSKA Data wykonania operacji: 2025-09-04 02:00 Oryginalna kwota operacji: 4.49 Numer karty: 425125******0264 (4.49 PLN)</t>
  </si>
  <si>
    <t>Tytuł:  74810315247168888203309  Lokalizacja: Adres: POLEWSKI CONCEPT Miasto: Poznan Kraj: POLSKA Data wykonania operacji: 2025-09-04 02:00 Oryginalna kwota operacji: 90.00 Numer karty: 425125******0264 (90.00 PLN)</t>
  </si>
  <si>
    <t>Tytuł: 000498849 74230785247175101019533  Lokalizacja: Adres: ZABKA Z0685 K.1 Miasto: POZNAN Kraj: POLSKA Data wykonania operacji: 2025-09-04 02:00 Oryginalna kwota operacji: 21.49 Numer karty: 425125******0264 (21.49 PLN)</t>
  </si>
  <si>
    <t>Tytuł: 010059127 74043215247139657600307  Lokalizacja: Adres: PPO Nagradowice West Miasto: Krerewo Kraj: POLSKA Data wykonania operacji: 2025-09-04 02:00 Oryginalna kwota operacji: 36.00 Numer karty: 425125******0264 (36.00 PLN)</t>
  </si>
  <si>
    <t>Tytuł:  74198745246535644463552  Lokalizacja: Adres: APPLE.COM/BILL Miasto: CORK Kraj: IRLANDIA Data wykonania operacji: 2025-09-02 02:00 Oryginalna kwota operacji: 59.99 Numer karty: 425125******0264 (59.99 PLN)</t>
  </si>
  <si>
    <t>Tytuł: 010072511 74987505245001664671057  Lokalizacja: Adres: Zakwitanie Kwiaciarnia Miasto: Miedzylesie Kraj: POLSKA Data wykonania operacji: 2025-09-02 02:00 Oryginalna kwota operacji: 24.00 Numer karty: 425125******0264 (24.00 PLN)</t>
  </si>
  <si>
    <t>Tytuł: 010061097 74169505244622444275934  Lokalizacja: Adres: PRACOWNIA PSYCHOLOGICZNA Miasto: POZNAN Kraj: POLSKA Data wykonania operacji: 2025-09-01 02:00 Oryginalna kwota operacji: 250.00 Numer karty: 425125******0264 (250.00 PLN)</t>
  </si>
  <si>
    <t>Tytuł: 010079564 74609055244100155769266  Lokalizacja: Adres: TIMELEFT Miasto: PARIS Kraj: FRANCJA Data wykonania operacji: 2025-09-01 02:00 Oryginalna kwota operacji: 35.24 Numer karty: 425125******0264 (35.24 PLN)</t>
  </si>
  <si>
    <t>Tytuł: 010085232 74350275244011364952517  Lokalizacja: Adres: Revolut**7108* Miasto: Dublin Kraj: IRLANDIA Data wykonania operacji: 2025-09-01 02:00 Oryginalna kwota operacji: 375.00 Numer karty: 425125******0264 (375.00 PLN)</t>
  </si>
  <si>
    <t>Rachunek odbiorcy: 21 1940 1076 6256 6800 0000 0000 Nazwa odbiorcy: ADAM TYŻYK Tytuł: 12 MP/09/2025 (363.00 PLN)</t>
  </si>
  <si>
    <t>Tytuł: 010046551 74810255243060028934053  Lokalizacja: Adres: PAYMOVE SP. Z O.O. Miasto: Sopot Kraj: POLSKA Data wykonania operacji: 2025-08-31 02:00 Oryginalna kwota operacji: 9.45 Numer karty: 425125******0264 (9.45 PLN)</t>
  </si>
  <si>
    <t>Tytuł: 010062941 74987505243000217363065  Lokalizacja: Adres: Pyszne.pl Miasto: Wroclaw Kraj: POLSKA Data wykonania operacji: 2025-08-31 02:00 Oryginalna kwota operacji: 99.58 Numer karty: 425125******0264 (99.58 PLN)</t>
  </si>
  <si>
    <t>Nazwa odbiorcy: MOBILE-TRAFFIC-DATA SP. Z O. O. Adres odbiorcy: UL. DRUŻBICKIEGO 11 61-693 POZNAŃ Tytuł: ZAKUP BILETU KOMUNIKACYJNEGO W APLI KACJI IKO  Referencje własne zleceniodawcy: 176017174323 (5.00 PLN)</t>
  </si>
  <si>
    <t>Tytuł: 00000090417713896   Numer telefonu: 48796555364 Lokalizacja: Adres: www.mobilet.pl 'Operacja: 00000090417713896 Numer referencyjny: 00000090417713896 (30.00 PLN)</t>
  </si>
  <si>
    <t>Tytuł: 000498849 74230785242174746083678  Lokalizacja: Adres: ZABKA ZB103 K.2 Miasto: SOPOT Kraj: POLSKA Data wykonania operacji: 2025-08-30 02:00 Oryginalna kwota operacji: 10.99 Numer karty: 425125******0264 (10.99 PLN)</t>
  </si>
  <si>
    <t>Tytuł:  24037345242112655301205  Lokalizacja: Adres: ESPRESSO BROTHERS S C Miasto: Gdynia Kraj: POLSKA Data wykonania operacji: 2025-08-30 02:00 Oryginalna kwota operacji: 159.00 Numer karty: 425125******0264 (159.00 PLN)</t>
  </si>
  <si>
    <t>Tytuł: 010059127 74043215242139136646819  Lokalizacja: Adres: Cosmedica Sp. z o.o. Miasto: Sopot Kraj: POLSKA Data wykonania operacji: 2025-08-30 02:00 Oryginalna kwota operacji: 18.59 Numer karty: 425125******0264 (18.59 PLN)</t>
  </si>
  <si>
    <t>Tytuł:  74838495243326603758336  Lokalizacja: Adres: MOLO NR 4 03 Miasto: SOPOT Kraj: POLSKA Data wykonania operacji: 2025-08-30 02:00 Oryginalna kwota operacji: 20.00 Numer karty: 425125******0264 (20.00 PLN)</t>
  </si>
  <si>
    <t>Tytuł:  24037345242112422848876  Lokalizacja: Adres: ESPRESSO BROTHERS S C Miasto: Gdynia Kraj: POLSKA Data wykonania operacji: 2025-08-30 02:00 Oryginalna kwota operacji: 204.00 Numer karty: 425125******0264 (204.00 PLN)</t>
  </si>
  <si>
    <t>BRAVE Courses sp. z o.o. Głogowska 216 60-104 Poznań, Polska NIP 7822914959   Faktura Proforma numer recMgnw9iqNyWPIXm</t>
  </si>
  <si>
    <t>Softwaremill S.A. ul. Na Uboczu 8/87 02-791 Warszawa   FV MS/005/09/2025</t>
  </si>
  <si>
    <t>LOUVRE HOTELS GROUP  Warszawa  POL   Płatność kartą 26.09.2025 Nr karty 4598xx4778</t>
  </si>
  <si>
    <t>KANCELARIA PODATKOWO-GOSPODARCZA SP ÓŁKA Z OGRANICZONĄ ODPOWIEDZIALNOŚC IĄ ul. Radomska 7 44-164 Gliwice NI P: PL 631-264-51-93   FA/69/09/2025</t>
  </si>
  <si>
    <t>ORLEN STACJA NR 199  KUZNIA RACIBO   Płatność kartą 22.09.2025 Nr karty 4598xx4778</t>
  </si>
  <si>
    <t>ORLEN STACJA NR 404  POZNAN  POL   Płatność kartą 20.09.2025 Nr karty 4598xx4778</t>
  </si>
  <si>
    <t>STREFA PIELEGNACJI  POZNAN  POL   Płatność kartą 17.09.2025 Nr karty 4598xx4778</t>
  </si>
  <si>
    <t>TERG SPÓŁKA AKCYJNA Za Dworcem 1D Złotów   Płatność BLIK 15.09.2025 Nr transakcji 90749360119 www.mediaexpert.pl</t>
  </si>
  <si>
    <t>ZUS</t>
  </si>
  <si>
    <t>Zakład Ubezpieczeń Społecznych 47-400 Racibórz   Ubezpieczenie zdrowotne 08.2025</t>
  </si>
  <si>
    <t>Urząd Skarbowy Centrum Rozliczeniowe   /TI/N6392015837/OKR/25M08/SFP/PIT4R</t>
  </si>
  <si>
    <t>Urząd Skarbowy Centrum Rozliczeniowe   /TI/N6392015837/OKR/25M08/SFP/PPE</t>
  </si>
  <si>
    <t>Urząd Skarbowy Centrum Rozliczeniowe   /TI/N6392015837/OKR/25M08/SFP/VAT7</t>
  </si>
  <si>
    <t>ORLEN STACJA NR 403  GOSTYNIN  POL   Płatność kartą 07.09.2025 Nr karty 4598xx4778</t>
  </si>
  <si>
    <t>ORLEN STACJA NR 422  POZNAN  POL   Płatność kartą 04.09.2025 Nr karty 4598xx4778</t>
  </si>
  <si>
    <t>BNP Paribas Leasing Services Sp. z o.o. 00-844 Warszawa, ul.Grzybowska 78   40229/09/2025/RL/LS</t>
  </si>
  <si>
    <t>Orange Polska S.A. Aleje Jerozolimskie 160 02-326 Warszawa NIP 526-025-09-95   F0083222849/009/25</t>
  </si>
  <si>
    <t>P4 Sp. z o.o. ul. Wynalazek 1 02-677 Warszawa   F/10176247/09/25</t>
  </si>
  <si>
    <t>Nazwa odbiorcy: PKO BP FINAT SP. Z O.O. Adres odbiorcy: UL. CHMIELNA 89 00-805 WARSZAWA Tytuł: OPŁ. ZA PRZEJAZD A1, PPO RUSOCIN - SPO NOWE MARZY, NR TRANS. 7247481, 2025-08-31 (17.60 PLN)</t>
  </si>
  <si>
    <t>Tytuł:  74838495242326520637648  Lokalizacja: Adres: MCDONALDS Miasto: ZNIN Kraj: POLSKA Data wykonania operacji: 2025-08-29 02:00 Oryginalna kwota operacji: 33.30 Numer karty: 425125******0264 (33.30 PLN)</t>
  </si>
  <si>
    <t>Tytuł: 010061097 74169505240642405692236  Lokalizacja: Adres: FABRYKA FORMY POZNAN BALT Miasto: POZNAN Kraj: POLSKA Data wykonania operacji: 2025-08-28 02:00 Oryginalna kwota operacji: 4.50 Numer karty: 425125******0264 (4.50 PLN)</t>
  </si>
  <si>
    <t>Nazwa odbiorcy: PKO BP FINAT SP. Z O.O. Adres odbiorcy: UL. CHMIELNA 89 00-805 WARSZAWA Tytuł: OPŁ. ZA PRZEJAZD A1, SPO NOWE MARZY - PPO RUSOCIN, NR TRANS. 7234794, 2025-08-29 (17.60 PLN)</t>
  </si>
  <si>
    <t>Tytuł: 010085232 74350275240011302158361  Lokalizacja: Adres: Revolut**7108* Miasto: Dublin Kraj: IRLANDIA Data wykonania operacji: 2025-08-28 02:00 Oryginalna kwota operacji: 1330.00 Numer karty: 425125******0264 (1330.00 PLN)</t>
  </si>
  <si>
    <t>Tytuł: 000498849 74230785238174464778646  Lokalizacja: Adres: ZABKA Z0685 K.1 Miasto: POZNAN Kraj: POLSKA Data wykonania operacji: 2025-08-26 02:00 Oryginalna kwota operacji: 2.99 Numer karty: 425125******0264 (2.99 PLN)</t>
  </si>
  <si>
    <t>Tytuł: 000498849 74230785239174504801431  Lokalizacja: Adres: NETTO 5304 SCO K.3 Miasto: POZNAN Kraj: POLSKA Data wykonania operacji: 2025-08-26 02:00 Oryginalna kwota operacji: 43.93 Numer karty: 425125******0264 (43.93 PLN)</t>
  </si>
  <si>
    <t>Tytuł:  74838495237325811450841  Lokalizacja: Adres: ZIKO APTEKA 05 Miasto: Poznan Kraj: POLSKA Data wykonania operacji: 2025-08-25 02:00 Oryginalna kwota operacji: 25.49 Numer karty: 425125******0264 (25.49 PLN)</t>
  </si>
  <si>
    <t>Tytuł: 010061097 74169505237622371858909  Lokalizacja: Adres: PRACOWNIA PSYCHOLOGICZNA Miasto: POZNAN Kraj: POLSKA Data wykonania operacji: 2025-08-25 02:00 Oryginalna kwota operacji: 250.00 Numer karty: 425125******0264 (250.00 PLN)</t>
  </si>
  <si>
    <t>Rachunek odbiorcy: 73 1090 2372 0000 0001 1332 9442 Nazwa odbiorcy: MARTA SZCZYGIEŁ Tytuł: PRZELEW NA TELEFON  OD: 48796555364 DO: 486*****967 (450.00 PLN)</t>
  </si>
  <si>
    <t>Tytuł: 000498849 74230785236174338351234  Lokalizacja: Adres: ZABKA ZA319 K.1 Miasto: ZABKOWICE SLA Kraj: POLSKA Data wykonania operacji: 2025-08-24 02:00 Oryginalna kwota operacji: 19.98 Numer karty: 425125******0264 (19.98 PLN)</t>
  </si>
  <si>
    <t>inwestycje</t>
  </si>
  <si>
    <t>Tytuł:  74838495237325767042980  Lokalizacja: Adres: ORLEN STACJA NR 4497 Miasto: WISZNIA MALA Kraj: POLSKA Data wykonania operacji: 2025-08-24 02:00 Oryginalna kwota operacji: 12.00 Numer karty: 425125******0264 (12.00 PLN)</t>
  </si>
  <si>
    <t>krypto</t>
  </si>
  <si>
    <t>Tytuł: 010085232 74350275236011256854938  Lokalizacja: Adres: Revolut**7108* Miasto: Dublin Kraj: IRLANDIA Data wykonania operacji: 2025-08-24 02:00 Oryginalna kwota operacji: 257.00 Numer karty: 425125******0264 (257.00 PLN)</t>
  </si>
  <si>
    <t>Nazwa odbiorcy: MOBILE-TRAFFIC-DATA SP. Z O. O. Adres odbiorcy: UL. DRUŻBICKIEGO 11 61-693 POZNAŃ Tytuł: ZAKUP BILETU KOMUNIKACYJNEGO W APLI KACJI IKO  Referencje własne zleceniodawcy: 175993463979 (4.00 PLN)</t>
  </si>
  <si>
    <t>Nazwa odbiorcy: MOBILE-TRAFFIC-DATA SP. Z O. O. Adres odbiorcy: UL. DRUŻBICKIEGO 11 61-693 POZNAŃ Tytuł: ZAKUP BILETU KOMUNIKACYJNEGO W APLI KACJI IKO  Referencje własne zleceniodawcy: 175993238556 (4.00 PLN)</t>
  </si>
  <si>
    <t>Tytuł:  74410495235026071281722  Lokalizacja: Adres: Klubokawiarnia Kl33384 Miasto: Gliwice Kraj: POLSKA Data wykonania operacji: 2025-08-23 02:00 Oryginalna kwota operacji: 38.00 Numer karty: 425125******0264 (38.00 PLN)</t>
  </si>
  <si>
    <t>Tytuł: 010061097 74463675235592353807396  Lokalizacja: Adres: MYJNIA SZPITALNA KNUROW Miasto: KNUROW Kraj: POLSKA Data wykonania operacji: 2025-08-22 02:00 Oryginalna kwota operacji: 5.00 Numer karty: 425125******0264 (5.00 PLN)</t>
  </si>
  <si>
    <t>Tytuł: 010061097 74463675235592353804807  Lokalizacja: Adres: MYJNIA SZPITALNA KNUROW Miasto: KNUROW Kraj: POLSKA Data wykonania operacji: 2025-08-22 02:00 Oryginalna kwota operacji: 5.00 Numer karty: 425125******0264 (5.00 PLN)</t>
  </si>
  <si>
    <t>Tytuł: 010061097 74463675235592353805432  Lokalizacja: Adres: MYJNIA SZPITALNA KNUROW Miasto: KNUROW Kraj: POLSKA Data wykonania operacji: 2025-08-22 02:00 Oryginalna kwota operacji: 5.00 Numer karty: 425125******0264 (5.00 PLN)</t>
  </si>
  <si>
    <t>Tytuł: 010061097 74463675235592353804310  Lokalizacja: Adres: MYJNIA SZPITALNA KNUROW Miasto: KNUROW Kraj: POLSKA Data wykonania operacji: 2025-08-22 02:00 Oryginalna kwota operacji: 5.00 Numer karty: 425125******0264 (5.00 PLN)</t>
  </si>
  <si>
    <t>Tytuł:  74410495234026059057525  Lokalizacja: Adres: Klubokawiarnia Kl33384 Miasto: Gliwice Kraj: POLSKA Data wykonania operacji: 2025-08-22 02:00 Oryginalna kwota operacji: 32.00 Numer karty: 425125******0264 (32.00 PLN)</t>
  </si>
  <si>
    <t>Tytuł: 010059127 74043215234138270482650  Lokalizacja: Adres: SPP w Gliwicach, Strefa B Miasto: GLIWICE Kraj: POLSKA Data wykonania operacji: 2025-08-22 02:00 Oryginalna kwota operacji: 2.50 Numer karty: 425125******0264 (2.50 PLN)</t>
  </si>
  <si>
    <t>Tytuł:  74810315234167636480404  Lokalizacja: Adres: ORANGE POT Miasto: Gliwice Kraj: POLSKA Data wykonania operacji: 2025-08-22 02:00 Oryginalna kwota operacji: 50.00 Numer karty: 425125******0264 (50.00 PLN)</t>
  </si>
  <si>
    <t>Tytuł:  74410495234026058668967  Lokalizacja: Adres: Klubokawiarnia Kl33384 Miasto: Gliwice Kraj: POLSKA Data wykonania operacji: 2025-08-22 02:00 Oryginalna kwota operacji: 24.00 Numer karty: 425125******0264 (24.00 PLN)</t>
  </si>
  <si>
    <t>Tytuł: 000498849 74230785233174134633481  Lokalizacja: Adres: ZABKA Z1521 K.1 Miasto: POZNAN Kraj: POLSKA Data wykonania operacji: 2025-08-21 02:00 Oryginalna kwota operacji: 9.99 Numer karty: 425125******0264 (9.99 PLN)</t>
  </si>
  <si>
    <t>Tytuł:  74838495234325321362836  Lokalizacja: Adres: LIDL 1884 Miasto: POZNAN Kraj: POLSKA Data wykonania operacji: 2025-08-21 02:00 Oryginalna kwota operacji: 123.96 Numer karty: 425125******0264 (123.96 PLN)</t>
  </si>
  <si>
    <t>Tytuł: 000498707 74987075234032245599605  Lokalizacja: Adres: ebookpoint.pl Miasto: Gliwice Kraj: POLSKA Data wykonania operacji: 2025-08-21 02:00 Oryginalna kwota operacji: 32.78 Numer karty: 425125******0264 (32.78 PLN)</t>
  </si>
  <si>
    <t>Tytuł: 010062941 74987505233002779419022  Lokalizacja: Adres: Amazon Prime*3NFtz5YXPxqt Miasto: Warsaw Kraj: POLSKA Data wykonania operacji: 2025-08-21 02:00 Oryginalna kwota operacji: 49.00 Numer karty: 425125******0264 (49.00 PLN)</t>
  </si>
  <si>
    <t>Tytuł: 010061097 74169505230622302048619  Lokalizacja: Adres: PRACOWNIA PSYCHOLOGICZNA Miasto: POZNAN Kraj: POLSKA Data wykonania operacji: 2025-08-18 02:00 Oryginalna kwota operacji: 250.00 Numer karty: 425125******0264 (250.00 PLN)</t>
  </si>
  <si>
    <t>Tytuł:  74838495230324727478530  Lokalizacja: Adres: ZIKO APTEKA 05 Miasto: Poznan Kraj: POLSKA Data wykonania operacji: 2025-08-18 02:00 Oryginalna kwota operacji: 326.27 Numer karty: 425125******0264 (326.27 PLN)</t>
  </si>
  <si>
    <t>Tytuł: 000498849 74230785229173845830275  Lokalizacja: Adres: WINNOW Miasto: POZNAN Kraj: POLSKA Data wykonania operacji: 2025-08-17 02:00 Oryginalna kwota operacji: 293.00 Numer karty: 425125******0264 (293.00 PLN)</t>
  </si>
  <si>
    <t>Nazwa odbiorcy: MOBILE-TRAFFIC-DATA SP. Z O. O. Adres odbiorcy: UL. DRUŻBICKIEGO 11 61-693 POZNAŃ Tytuł: ZAKUP BILETU KOMUNIKACYJNEGO W APLI KACJI IKO  Referencje własne zleceniodawcy: 175970525518 (4.00 PLN)</t>
  </si>
  <si>
    <t>Nazwa odbiorcy: MOBILE-TRAFFIC-DATA SP. Z O. O. Adres odbiorcy: UL. DRUŻBICKIEGO 11 61-693 POZNAŃ Tytuł: ZAKUP BILETU KOMUNIKACYJNEGO W APLI KACJI IKO  Referencje własne zleceniodawcy: 175970249651 (4.00 PLN)</t>
  </si>
  <si>
    <t>Tytuł: 000498849 74230785228173796106759  Lokalizacja: Adres: ZABKA Z0685 K.1 Miasto: POZNAN Kraj: POLSKA Data wykonania operacji: 2025-08-16 02:00 Oryginalna kwota operacji: 10.99 Numer karty: 425125******0264 (10.99 PLN)</t>
  </si>
  <si>
    <t>Tytuł: 010066928 74056285228101059241965  Lokalizacja: Adres: APPLE.COM/BILL Miasto: APPLE.COM/BIL Kraj: IRLANDIA Data wykonania operacji: 2025-08-16 02:00 Oryginalna kwota operacji: 14.99 Numer karty: 425125******0264 (14.99 PLN)</t>
  </si>
  <si>
    <t>Tytuł: 010059127 74043215227137522367890  Lokalizacja: Adres: SPO Jordanowo Miasto: Swiebodzin Kraj: POLSKA Data wykonania operacji: 2025-08-15 02:00 Oryginalna kwota operacji: 44.00 Numer karty: 425125******0264 (44.00 PLN)</t>
  </si>
  <si>
    <t>Tytuł:  74838495228324368762758  Lokalizacja: Adres: RYORI Miasto: BOLESLAWIEC Kraj: POLSKA Data wykonania operacji: 2025-08-15 02:00 Oryginalna kwota operacji: 111.00 Numer karty: 425125******0264 (111.00 PLN)</t>
  </si>
  <si>
    <t>Tytuł: 010061097 74463675227612279476249  Lokalizacja: Adres: GMINA M BOLESLAWIEC WEW Miasto: BOLESLAWIEC Kraj: POLSKA Data wykonania operacji: 2025-08-15 02:00 Oryginalna kwota operacji: 1.00 Numer karty: 425125******0264 (1.00 PLN)</t>
  </si>
  <si>
    <t>Tytuł: 010075642 74987505225002425125064  Lokalizacja: Adres: aliexpress Miasto: Luxembourg Kraj: LUKSEMBURG Data wykonania operacji: 2025-08-13 02:00 Oryginalna kwota operacji: 132.78 Numer karty: 425125******0264 (132.78 PLN)</t>
  </si>
  <si>
    <t>Tytuł: 010046551 74796055224059576588795  Lokalizacja: Adres: MIELS SP. Z O.O. Miasto: POZNAN Kraj: POLSKA Data wykonania operacji: 2025-08-12 02:00 Oryginalna kwota operacji: 64.00 Numer karty: 425125******0264 (64.00 PLN)</t>
  </si>
  <si>
    <t>Tytuł: 000498849 74230785224173489193878  Lokalizacja: Adres: ZABKA Z3341 K.2 Miasto: POZNAN Kraj: POLSKA Data wykonania operacji: 2025-08-12 02:00 Oryginalna kwota operacji: 9.20 Numer karty: 425125******0264 (9.20 PLN)</t>
  </si>
  <si>
    <t>Tytuł:  74838495224323793485534  Lokalizacja: Adres: MITTE Miasto: POZNAN Kraj: POLSKA Data wykonania operacji: 2025-08-12 02:00 Oryginalna kwota operacji: 220.00 Numer karty: 425125******0264 (220.00 PLN)</t>
  </si>
  <si>
    <t>Tytuł: 010061097 74169505223612239538922  Lokalizacja: Adres: PRACOWNIA PSYCHOLOGICZNA Miasto: POZNAN Kraj: POLSKA Data wykonania operacji: 2025-08-11 02:00 Oryginalna kwota operacji: 250.00 Numer karty: 425125******0264 (250.00 PLN)</t>
  </si>
  <si>
    <t>Rachunek odbiorcy: 48 1540 1157 8129 0000 0084 2846 Nazwa odbiorcy: DM BOŚ Tytuł: PRZELEW   Referencje własne zleceniodawcy: 175954191198 (2450.00 PLN)</t>
  </si>
  <si>
    <t>Tytuł:  74838495223323556561613  Lokalizacja: Adres: ORLEN STACJA NR 1363 Miasto: NOWE MIASTO N Kraj: POLSKA Data wykonania operacji: 2025-08-10 02:00 Oryginalna kwota operacji: 15.18 Numer karty: 425125******0264 (15.18 PLN)</t>
  </si>
  <si>
    <t>Nazwa odbiorcy: MOBILE-TRAFFIC-DATA SP. Z O. O. Adres odbiorcy: UL. DRUŻBICKIEGO 11 61-693 POZNAŃ Tytuł: ZAKUP BILETU KOMUNIKACYJNEGO W APLI KACJI IKO  Referencje własne zleceniodawcy: 175947325457 (4.00 PLN)</t>
  </si>
  <si>
    <t>Tytuł: 000498849 74230785221173285893138  Lokalizacja: Adres: ZABKA Z0685 K.1 Miasto: POZNAN Kraj: POLSKA Data wykonania operacji: 2025-08-09 02:00 Oryginalna kwota operacji: 4.50 Numer karty: 425125******0264 (4.50 PLN)</t>
  </si>
  <si>
    <t>Nazwa odbiorcy: MOBILE-TRAFFIC-DATA SP. Z O. O. Adres odbiorcy: UL. DRUŻBICKIEGO 11 61-693 POZNAŃ Tytuł: ZAKUP BILETU KOMUNIKACYJNEGO W APLI KACJI IKO  Referencje własne zleceniodawcy: 175946976142 (4.00 PLN)</t>
  </si>
  <si>
    <t>Tytuł: 010062941 74987505220002634025084  Lokalizacja: Adres: Wolt Miasto: Warszawa Kraj: POLSKA Data wykonania operacji: 2025-08-08 02:00 Oryginalna kwota operacji: 55.59 Numer karty: 425125******0264 (55.59 PLN)</t>
  </si>
  <si>
    <t>Tytuł: S1PO2028 4278 00000089967639762   Numer telefonu: 48796555364 Lokalizacja: Adres: UL. ROOSEVELTA 11 Miasto: POZNAN Kraj: POLSKA Bankomat: S1PO2028 'Operacja: 4278 00000089967639762 Numer referencyjny: 4278 00000089967639762 (2200.00 PLN)</t>
  </si>
  <si>
    <t>Tytuł: 00000089957715620   Numer telefonu: 48796555364 Lokalizacja: Adres: allegro.pl 'Operacja: 00000089957715620 Numer referencyjny: 00000089957715620 (104.00 PLN)</t>
  </si>
  <si>
    <t>Nazwa odbiorcy: MOBILE-TRAFFIC-DATA SP. Z O. O. Adres odbiorcy: UL. DRUŻBICKIEGO 11 61-693 POZNAŃ Tytuł: ZAKUP BILETU KOMUNIKACYJNEGO W APLI KACJI IKO  Referencje własne zleceniodawcy: 175933493239 (4.00 PLN)</t>
  </si>
  <si>
    <t>Tytuł: 010072805 24871155217110634490886  Lokalizacja: Adres: ALIEXPRESS.COM Miasto: Luxembourg Kraj: LUKSEMBURG Data wykonania operacji: 2025-08-05 02:00 Oryginalna kwota operacji: 151.47 Numer karty: 425125******0264 (151.47 PLN)</t>
  </si>
  <si>
    <t>Tytuł: 010085232 74350275217010981313684  Lokalizacja: Adres: Revolut**7108* Miasto: Dublin Kraj: IRLANDIA Data wykonania operacji: 2025-08-05 02:00 Oryginalna kwota operacji: 200.00 Numer karty: 425125******0264 (200.00 PLN)</t>
  </si>
  <si>
    <t>Tytuł:  74838495218322801426967  Lokalizacja: Adres: LIDL SZWEDZKA Miasto: POZNAN Kraj: POLSKA Data wykonania operacji: 2025-08-05 02:00 Oryginalna kwota operacji: 87.04 Numer karty: 425125******0264 (87.04 PLN)</t>
  </si>
  <si>
    <t>Tytuł: 00000089943034627   Numer telefonu: 48796555364 Lokalizacja: Adres: allegro.pl 'Operacja: 00000089943034627 Numer referencyjny: 00000089943034627 (409.08 PLN)</t>
  </si>
  <si>
    <t>Tytuł: 010061097 74169505216612166740227  Lokalizacja: Adres: PRACOWNIA PSYCHOLOGICZNA Miasto: POZNAN Kraj: POLSKA Data wykonania operacji: 2025-08-04 02:00 Oryginalna kwota operacji: 125.00 Numer karty: 425125******0264 (125.00 PLN)</t>
  </si>
  <si>
    <t>Tytuł: 000498849 74230785216172902461383  Lokalizacja: Adres: SOUP CULTURE ROSWELL Miasto: POZNAN Kraj: POLSKA Data wykonania operacji: 2025-08-04 02:00 Oryginalna kwota operacji: 22.00 Numer karty: 425125******0264 (22.00 PLN)</t>
  </si>
  <si>
    <t>Tytuł: 000498849 74230785216172909118911  Lokalizacja: Adres: ZABKA Z0685 K.1 Miasto: POZNAN Kraj: POLSKA Data wykonania operacji: 2025-08-04 02:00 Oryginalna kwota operacji: 9.99 Numer karty: 425125******0264 (9.99 PLN)</t>
  </si>
  <si>
    <t>Tytuł: 00000089909266239   Numer telefonu: 48796555364 Lokalizacja: Adres: www.zalando.pl 'Operacja: 00000089909266239 Numer referencyjny: 00000089909266239 (99.99 PLN)</t>
  </si>
  <si>
    <t>Nazwa odbiorcy: MOBILE-TRAFFIC-DATA SP. Z O. O. Adres odbiorcy: UL. DRUŻBICKIEGO 11 61-693 POZNAŃ Tytuł: ZAKUP BILETU KOMUNIKACYJNEGO W APLI KACJI IKO  Referencje własne zleceniodawcy: 175921056820 (4.00 PLN)</t>
  </si>
  <si>
    <t>Nazwa odbiorcy: MOBILE-TRAFFIC-DATA SP. Z O. O. Adres odbiorcy: UL. DRUŻBICKIEGO 11 61-693 POZNAŃ Tytuł: ZAKUP BILETU KOMUNIKACYJNEGO W APLI KACJI IKO  Referencje własne zleceniodawcy: 175920788334 (4.00 PLN)</t>
  </si>
  <si>
    <t>Tytuł: 010066928 74056285214101166876451  Lokalizacja: Adres: APPLE.COM/BILL Miasto: APPLE.COM/BIL Kraj: IRLANDIA Data wykonania operacji: 2025-08-02 02:00 Oryginalna kwota operacji: 59.99 Numer karty: 425125******0264 (59.99 PLN)</t>
  </si>
  <si>
    <t>Tytuł:  74838495214322377953406  Lokalizacja: Adres: LIDL OSTROWSKA Miasto: Poznan Kraj: POLSKA Data wykonania operacji: 2025-08-02 02:00 Oryginalna kwota operacji: 180.99 Numer karty: 425125******0264 (180.99 PLN)</t>
  </si>
  <si>
    <t>Tytuł:  74838495215322272756143  Lokalizacja: Adres: ORLEN STACJA NR 422 Miasto: POZNAN Kraj: POLSKA Data wykonania operacji: 2025-08-02 02:00 Oryginalna kwota operacji: 21.98 Numer karty: 425125******0264 (21.98 PLN)</t>
  </si>
  <si>
    <t>Tytuł:  74810315214165532427218  Lokalizacja: Adres: Parking wielopoziomowy Miasto: Bydgoszcz Kraj: POLSKA Data wykonania operacji: 2025-08-02 02:00 Oryginalna kwota operacji: 32.00 Numer karty: 425125******0264 (32.00 PLN)</t>
  </si>
  <si>
    <t>Tytuł:  74810315214165505962936  Lokalizacja: Adres: PARZYMY TUTAJ Miasto: Bydgoszcz Kraj: POLSKA Data wykonania operacji: 2025-08-02 02:00 Oryginalna kwota operacji: 46.00 Numer karty: 425125******0264 (46.00 PLN)</t>
  </si>
  <si>
    <t>Rachunek odbiorcy: 21 1940 1076 6256 6800 0000 0000 Nazwa odbiorcy: ADAM TYŻYK Tytuł: 12 MP/08/2025   Referencje własne zleceniodawcy: 175915617025 (363.00 PLN)</t>
  </si>
  <si>
    <t>Tytuł:  74988855213496361111694  Lokalizacja: Adres: JMP S.A. BIEDRONKA 3950 Miasto: POZNAN Kraj: POLSKA Data wykonania operacji: 2025-08-01 02:00 Oryginalna kwota operacji: 106.22 Numer karty: 425125******0264 (106.22 PLN)</t>
  </si>
  <si>
    <t>Tytuł: 010087885 74987505213000506056046  Lokalizacja: Adres: BsCaffe Grzegorz Bienko Miasto: Stalowa Wola Kraj: POLSKA Data wykonania operacji: 2025-08-01 02:00 Oryginalna kwota operacji: 222.50 Numer karty: 425125******0264 (222.50 PLN)</t>
  </si>
  <si>
    <t>Tytuł:  74838495213321891561795  Lokalizacja: Adres: ROSSMANN 21 Miasto: POZNAN Kraj: POLSKA Data wykonania operacji: 2025-07-31 02:00 Oryginalna kwota operacji: 35.97 Numer karty: 425125******0264 (35.97 PLN)</t>
  </si>
  <si>
    <t>Tytuł: 010085232 74350275212010920238922  Lokalizacja: Adres: Revolut**7108* Miasto: Dublin Kraj: IRLANDIA Data wykonania operacji: 2025-07-31 02:00 Oryginalna kwota operacji: 550.00 Numer karty: 425125******0264 (550.00 PLN)</t>
  </si>
  <si>
    <t>Tytuł: OBCY 00000089818786020   Numer telefonu: 48796555364 Lokalizacja: Adres: UL  RYCHTALSKA 8 Miasto: WROCLAW Kraj: POLSKA Bankomat: OBCY 'Operacja: 00000089818786020 Numer referencyjny: 00000089818786020 (500.00 PLN)</t>
  </si>
  <si>
    <t>ORLEN STACJA NR 839  SWIECIE  POL   Płatność kartą 29.08.2025 Nr karty 4598xx4778</t>
  </si>
  <si>
    <t>KANCELARIA PODATKOWO-GOSPODARCZA SP ÓŁKA Z OGRANICZONĄ ODPOWIEDZIALNOŚC IĄ ul. Radomska 7 44-164 Gliwice NI P: PL 631-264-51-93   FA/69/08/2025</t>
  </si>
  <si>
    <t>Softwaremill S.A. ul. Na Uboczu 8/87 02-791 Warszawa   FV 013/08/2025</t>
  </si>
  <si>
    <t>ORLEN STACJA NR 199  KUZNIA RACIBO   Płatność kartą 24.08.2025 Nr karty 4598xx4778</t>
  </si>
  <si>
    <t>KELLER SP Z O.O.- SALON H  GLIWICE   Płatność kartą 22.08.2025 Nr karty 4598xx4778</t>
  </si>
  <si>
    <t>SHELL 11  Wroclaw  POL   Płatność kartą 22.08.2025 Nr karty 4598xx4778</t>
  </si>
  <si>
    <t>Urząd Skarbowy Centrum Rozliczeniowe   /TI/N6392015837/OKR/25M07/SFP/VAT7</t>
  </si>
  <si>
    <t>Urząd Skarbowy Centrum Rozliczeniowe   /TI/N6392015837/OKR/25M07/SFP/PPE</t>
  </si>
  <si>
    <t>ORLEN STACJA NR 455  SIERAKOWO  POL   Płatność kartą 15.08.2025 Nr karty 4598xx4778</t>
  </si>
  <si>
    <t>STACJA PALIW NR 702  KROTOSZYN  POL   Płatność kartą 09.08.2025 Nr karty 4598xx4778</t>
  </si>
  <si>
    <t>Softwaremill S.A. ul. Na Uboczu 8/87 02-791 Warszawa   FV 013/07/2025</t>
  </si>
  <si>
    <t>BNP Paribas Leasing Services Sp. z o.o. 00-844 Warszawa, ul.Grzybowska 78   39120/08/2025/RL/LS</t>
  </si>
  <si>
    <t>P4 Sp. z o.o. ul. Wynalazek 1 02-677 Warszawa   F/10161865/08/25</t>
  </si>
  <si>
    <t>Urząd Skarbowy Centrum Rozliczeniowe   /TI/N6392015837/OKR/25M07/SFP/PIT4R</t>
  </si>
  <si>
    <t>Zakład Ubezpieczeń Społecznych 47-400 Racibórz   Ubezpieczenie zdrowotne 07.2025</t>
  </si>
  <si>
    <t>Orange Polska S.A. Aleje Jerozolimskie 160 02-326 Warszawa NIP 526-025-09-95   F0083222849/008/25</t>
  </si>
  <si>
    <t>ORLEN STACJA NR 422  POZNAN  POL   Płatność kartą 02.08.2025 Nr karty 4598xx4778</t>
  </si>
  <si>
    <t>Tytuł: 000498849 74230785207172297666647  Lokalizacja: Adres: NETTO 5304 SCO K.2 Miasto: POZNAN Kraj: POLSKA Data wykonania operacji: 2025-07-25 02:00 Oryginalna kwota operacji: 35.08 Numer karty: 425125******0264 (35.08 PLN)</t>
  </si>
  <si>
    <t>Tytuł: 010061097 74169505206652065173361  Lokalizacja: Adres: FABRYKA FORMY POZNAN BALT Miasto: POZNAN Kraj: POLSKA Data wykonania operacji: 2025-07-25 02:00 Oryginalna kwota operacji: 4.50 Numer karty: 425125******0264 (4.50 PLN)</t>
  </si>
  <si>
    <t>Tytuł: 010085232 74350275205010817772842  Lokalizacja: Adres: Revolut**7108* Miasto: Dublin Kraj: IRLANDIA Data wykonania operacji: 2025-07-24 02:00 Oryginalna kwota operacji: 500.00 Numer karty: 425125******0264 (500.00 PLN)</t>
  </si>
  <si>
    <t>Tytuł: 000498849 74230785204172102030230  Lokalizacja: Adres: SOUP CULTURE ROSWELL Miasto: POZNAN Kraj: POLSKA Data wykonania operacji: 2025-07-23 02:00 Oryginalna kwota operacji: 22.00 Numer karty: 425125******0264 (22.00 PLN)</t>
  </si>
  <si>
    <t>ubrania</t>
  </si>
  <si>
    <t>Tytuł: 00000089650281362   Numer telefonu: 48796555364 Lokalizacja: Adres: www.zalando.pl 'Operacja: 00000089650281362 Numer referencyjny: 00000089650281362 (1199.98 PLN)</t>
  </si>
  <si>
    <t>Tytuł: 010072805 24871155203106473917290  Lokalizacja: Adres: ALIEXPRESS.COM Miasto: Luxembourg Kraj: LUKSEMBURG Data wykonania operacji: 2025-07-22 02:00 Oryginalna kwota operacji: 77.86 Numer karty: 425125******0264 (77.86 PLN)</t>
  </si>
  <si>
    <t>Tytuł: 010061097 74169505203642030729077  Lokalizacja: Adres: FABRYKA FORMY POZNAN BALT Miasto: POZNAN Kraj: POLSKA Data wykonania operacji: 2025-07-22 02:00 Oryginalna kwota operacji: 4.50 Numer karty: 425125******0264 (4.50 PLN)</t>
  </si>
  <si>
    <t>Tytuł: 000498849 74230785203172053212739  Lokalizacja: Adres: STRONA Miasto: POZNAN Kraj: POLSKA Data wykonania operacji: 2025-07-22 02:00 Oryginalna kwota operacji: 20.00 Numer karty: 425125******0264 (20.00 PLN)</t>
  </si>
  <si>
    <t>Tytuł: 010066928 74056285203100586281006  Lokalizacja: Adres: APPLE.COM/BILL Miasto: APPLE.COM/BIL Kraj: IRLANDIA Data wykonania operacji: 2025-07-22 02:00 Oryginalna kwota operacji: 39.99 Numer karty: 425125******0264 (39.99 PLN)</t>
  </si>
  <si>
    <t>Rachunek odbiorcy: 73 1090 2372 0000 0001 1332 9442 Nazwa odbiorcy: MARTA SZCZYGIEŁ Tytuł: PRZELEW NA TELEFON  OD: 48796555364 DO: 486*****967 (235.00 PLN)</t>
  </si>
  <si>
    <t>Rachunek odbiorcy: 25 1140 2004 0000 3102 7803 3777 Nazwa odbiorcy: KAMIL WIETESKA Tytuł: OLAF KRZWCZYK 21.07.2025   Referencje własne zleceniodawcy: 175875884623 (250.00 PLN)</t>
  </si>
  <si>
    <t>Tytuł: 000498849 74230785200171847484920  Lokalizacja: Adres: ZABKA Z4067 K.2 Miasto: WROCLAW Kraj: POLSKA Data wykonania operacji: 2025-07-19 02:00 Oryginalna kwota operacji: 19.49 Numer karty: 425125******0264 (19.49 PLN)</t>
  </si>
  <si>
    <t>Tytuł:  74838495200320058215273  Lokalizacja: Adres: LARKS Miasto: WROCLAW Kraj: POLSKA Data wykonania operacji: 2025-07-19 02:00 Oryginalna kwota operacji: 15.30 Numer karty: 425125******0264 (15.30 PLN)</t>
  </si>
  <si>
    <t>Tytuł:  74838495199319881980171  Lokalizacja: Adres: LARKS Miasto: WROCLAW Kraj: POLSKA Data wykonania operacji: 2025-07-18 02:00 Oryginalna kwota operacji: 15.30 Numer karty: 425125******0264 (15.30 PLN)</t>
  </si>
  <si>
    <t>Tytuł:  74838495199319887804557  Lokalizacja: Adres: Ziko Apteka Miasto: Wroclaw Kraj: POLSKA Data wykonania operacji: 2025-07-18 02:00 Oryginalna kwota operacji: 59.98 Numer karty: 425125******0264 (59.98 PLN)</t>
  </si>
  <si>
    <t>Tytuł:  74810315199163967373238  Lokalizacja: Adres: CAFE ROZRUSZNIK Miasto: WROCLAW Kraj: POLSKA Data wykonania operacji: 2025-07-18 02:00 Oryginalna kwota operacji: 15.25 Numer karty: 425125******0264 (15.25 PLN)</t>
  </si>
  <si>
    <t>Tytuł: 000498849 74230785199171751038186  Lokalizacja: Adres: ZABKA ZC250 K.2 Miasto: WROCLAW Kraj: POLSKA Data wykonania operacji: 2025-07-18 02:00 Oryginalna kwota operacji: 10.10 Numer karty: 425125******0264 (10.10 PLN)</t>
  </si>
  <si>
    <t>Tytuł:  74810315199163929109423  Lokalizacja: Adres: KWATERA GLOWNA Miasto: WROCLAW Kraj: POLSKA Data wykonania operacji: 2025-07-18 02:00 Oryginalna kwota operacji: 5.00 Numer karty: 425125******0264 (5.00 PLN)</t>
  </si>
  <si>
    <t>Tytuł:  74988855199401249230383  Lokalizacja: Adres: JMIDF SP.Z.O.O.HEBE R147 Miasto: WROCLAW Kraj: POLSKA Data wykonania operacji: 2025-07-18 02:00 Oryginalna kwota operacji: 87.49 Numer karty: 425125******0264 (87.49 PLN)</t>
  </si>
  <si>
    <t>Tytuł:  74198745198528431953891  Lokalizacja: Adres: APPLE.COM/BILL Miasto: CORK Kraj: IRLANDIA Data wykonania operacji: 2025-07-16 02:00 Oryginalna kwota operacji: 14.99 Numer karty: 425125******0264 (14.99 PLN)</t>
  </si>
  <si>
    <t>telefon</t>
  </si>
  <si>
    <t>Tytuł: 010059127 74062945198134528817823  Lokalizacja: Adres: www.inpost.pl Miasto: KRAKOW Kraj: POLSKA Data wykonania operacji: 2025-07-17 02:00 Oryginalna kwota operacji: 18.99 Numer karty: 425125******0264 (18.99 PLN)</t>
  </si>
  <si>
    <t>Rachunek odbiorcy: 05 1050 1575 1000 0097 9776 6731 Nazwa odbiorcy: ODBIORCA PRZELEWU NA TELEFON Tytuł: PRZELEW NA TELEFON  OD: 48796555364 DO: 485*****629 (10.00 PLN)</t>
  </si>
  <si>
    <t>Tytuł: 000498849 74230785197171597947931  Lokalizacja: Adres: MEDIA MARKT P519 K.104 Miasto: POZNAN Kraj: POLSKA Data wykonania operacji: 2025-07-16 02:00 Oryginalna kwota operacji: 99.99 Numer karty: 425125******0264 (99.99 PLN)</t>
  </si>
  <si>
    <t>Tytuł:  74570005197719731596591  Lokalizacja: Adres: 7-ELEVEN B108 Miasto: KASTRUP Kraj: DANIA Data wykonania operacji: 2025-07-15 02:00 Oryginalna kwota operacji: 26.00 Data przetworzenia: 2025-07-16 Numer karty: 425125******0264 (15.54 PLN)</t>
  </si>
  <si>
    <t>Tytuł:  74810315196163636339019  Lokalizacja: Adres: Pawel Holowacz Miasto: Wroclaw Kraj: POLSKA Data wykonania operacji: 2025-07-15 02:00 Oryginalna kwota operacji: 44.00 Numer karty: 425125******0264 (44.00 PLN)</t>
  </si>
  <si>
    <t>Tytuł: 000414361 74143615197000081395676  Lokalizacja: Adres: UBR* PENDING.UBER.COM Miasto: AMSTERDAM Kraj: HOLANDIA Data wykonania operacji: 2025-07-15 02:00 Oryginalna kwota operacji: 48.93 Numer karty: 425125******0264 (48.93 PLN)</t>
  </si>
  <si>
    <t>Tytuł:  74838495196319455775828  Lokalizacja: Adres: PL SBX GDANSK RAJSKA Miasto: GDANSK Kraj: POLSKA Data wykonania operacji: 2025-07-15 02:00 Oryginalna kwota operacji: 22.90 Numer karty: 425125******0264 (22.90 PLN)</t>
  </si>
  <si>
    <t>Rachunek odbiorcy: 91 1020 0029 9000 2023 2777 2284 Nazwa odbiorcy: OLAF KRAWCZYK Tytuł: SPŁATA AKTUALNEGO ZADŁUŻENIA KARTY KREDYTOWEJ * 8853 OD: 48796555364 Referencje własne zleceniodawcy: 175861701339 (1786.83 PLN)</t>
  </si>
  <si>
    <t>Tytuł: 000498707 74987075196030898507988  Lokalizacja: Adres: jakdojade.pl Miasto: Poznan Kraj: POLSKA Data wykonania operacji: 2025-07-14 02:00 Oryginalna kwota operacji: 10.25 Numer karty: 425125******0264 (10.25 PLN)</t>
  </si>
  <si>
    <t>Tytuł: 010085232 74350275195010676030078  Lokalizacja: Adres: Revolut**7108* Miasto: Dublin Kraj: IRLANDIA Data wykonania operacji: 2025-07-14 02:00 Oryginalna kwota operacji: 500.00 Numer karty: 425125******0264 (500.00 PLN)</t>
  </si>
  <si>
    <t>Tytuł:  74810315195163463933687  Lokalizacja: Adres: Relay 53605 Miasto: Gdansk Kraj: POLSKA Data wykonania operacji: 2025-07-14 02:00 Oryginalna kwota operacji: 7.00 Numer karty: 425125******0264 (7.00 PLN)</t>
  </si>
  <si>
    <t>Tytuł: 00000089471837810   Numer telefonu: 48796555364 Lokalizacja: Adres: doladowania.t-mobile.pl 'Operacja: 00000089471837810 Numer referencyjny: 00000089471837810 (20.00 PLN)</t>
  </si>
  <si>
    <t>Tytuł:  74810315194163426789037  Lokalizacja: Adres: MATA Indyjska Restaurac Miasto: Poznan Kraj: POLSKA Data wykonania operacji: 2025-07-13 02:00 Oryginalna kwota operacji: 56.00 Numer karty: 425125******0264 (56.00 PLN)</t>
  </si>
  <si>
    <t>Tytuł: 010061097 74463675194501951221875  Lokalizacja: Adres: WWW BILKOM PL Miasto: WARSZAWA Kraj: POLSKA Data wykonania operacji: 2025-07-13 02:00 Oryginalna kwota operacji: 70.00 Numer karty: 425125******0264 (70.00 PLN)</t>
  </si>
  <si>
    <t>Tytuł: 000498849 74230785194171428962433  Lokalizacja: Adres: ZABKA Z5606 K.2 Miasto: POZNAN Kraj: POLSKA Data wykonania operacji: 2025-07-13 02:00 Oryginalna kwota operacji: 9.98 Numer karty: 425125******0264 (9.98 PLN)</t>
  </si>
  <si>
    <t>Tytuł:  74810315194163405729236  Lokalizacja: Adres: Berlin Ecke Miasto: Poznan Kraj: POLSKA Data wykonania operacji: 2025-07-13 02:00 Oryginalna kwota operacji: 54.00 Numer karty: 425125******0264 (54.00 PLN)</t>
  </si>
  <si>
    <t>Tytuł:  74838495194319033911913  Lokalizacja: Adres: BRO. FOOD. BEER. CHILL. Miasto: POZNAN Kraj: POLSKA Data wykonania operacji: 2025-07-12 02:00 Oryginalna kwota operacji: 66.00 Numer karty: 425125******0264 (66.00 PLN)</t>
  </si>
  <si>
    <t>Tytuł: 010085232 74350275193010658633040  Lokalizacja: Adres: Revolut**7108* Miasto: Dublin Kraj: IRLANDIA Data wykonania operacji: 2025-07-12 02:00 Oryginalna kwota operacji: 700.00 Numer karty: 425125******0264 (700.00 PLN)</t>
  </si>
  <si>
    <t>Tytuł: 000498849 74230785194171388663609  Lokalizacja: Adres: POZNAN SNOOKER BILLIA Miasto: POZNAN Kraj: POLSKA Data wykonania operacji: 2025-07-12 02:00 Oryginalna kwota operacji: 56.00 Numer karty: 425125******0264 (56.00 PLN)</t>
  </si>
  <si>
    <t>Tytuł: 010062941 74987505193000606110028  Lokalizacja: Adres: notino.pl Miasto: Brno Kraj: REPUBLIKA CZESKA Data wykonania operacji: 2025-07-12 02:00 Oryginalna kwota operacji: 137.10 Numer karty: 425125******0264 (137.10 PLN)</t>
  </si>
  <si>
    <t>Tytuł: 010072805 24871155193103841312025  Lokalizacja: Adres: ALIEXPRESS.COM Miasto: Luxembourg Kraj: LUKSEMBURG Data wykonania operacji: 2025-07-12 02:00 Oryginalna kwota operacji: 76.93 Numer karty: 425125******0264 (76.93 PLN)</t>
  </si>
  <si>
    <t>Tytuł:  74598425193000185606398 (10.00 PLN)</t>
  </si>
  <si>
    <t>Tytuł:  74598425193000185606398  Lokalizacja: Adres: ul  Andersa 1 Miasto: POZNAN Kraj: POLSKA Data wykonania operacji: 2025-07-12 02:00 Oryginalna kwota operacji: 50.00 Numer karty: 425125******0264 (50.00 PLN)</t>
  </si>
  <si>
    <t>Tytuł: 010046551 74230105193058830445390  Lokalizacja: Adres: NOODLE STREET Miasto: POZNAN Kraj: POLSKA Data wykonania operacji: 2025-07-12 02:00 Oryginalna kwota operacji: 79.00 Numer karty: 425125******0264 (79.00 PLN)</t>
  </si>
  <si>
    <t>Tytuł: 000498849 74230785193171363426023  Lokalizacja: Adres: ZABKA Z1521 K.2 Miasto: POZNAN Kraj: POLSKA Data wykonania operacji: 2025-07-12 02:00 Oryginalna kwota operacji: 8.40 Numer karty: 425125******0264 (8.40 PLN)</t>
  </si>
  <si>
    <t>Rachunek odbiorcy: 76 1020 2368 0000 2102 0521 6967 Nazwa odbiorcy: SWIADOM Tytuł: PRZELEW NA TELEFON  OD: 48796555364 DO: 48790896787 Referencje własne zleceniodawcy: 175850319634 (50.00 PLN)</t>
  </si>
  <si>
    <t>Tytuł:  74810315192163273293523  Lokalizacja: Adres: Nare Sushi Miasto: Skorzewo Kraj: POLSKA Data wykonania operacji: 2025-07-11 02:00 Oryginalna kwota operacji: 350.00 Numer karty: 425125******0264 (350.00 PLN)</t>
  </si>
  <si>
    <t>Tytuł: 000414361 74143615193000080186997  Lokalizacja: Adres: UBR* PENDING.UBER.COM Miasto: AMSTERDAM Kraj: HOLANDIA Data wykonania operacji: 2025-07-11 02:00 Oryginalna kwota operacji: 34.90 Numer karty: 425125******0264 (34.90 PLN)</t>
  </si>
  <si>
    <t>Tytuł:  74838495192318590831052  Lokalizacja: Adres: ROSSMANN 21 Miasto: POZNAN Kraj: POLSKA Data wykonania operacji: 2025-07-10 02:00 Oryginalna kwota operacji: 9.99 Numer karty: 425125******0264 (9.99 PLN)</t>
  </si>
  <si>
    <t>Tytuł: 000498849 74230785191171199253585  Lokalizacja: Adres: SOUP CULTURE ROSWELL Miasto: POZNAN Kraj: POLSKA Data wykonania operacji: 2025-07-10 02:00 Oryginalna kwota operacji: 22.00 Numer karty: 425125******0264 (22.00 PLN)</t>
  </si>
  <si>
    <t>Tytuł: 010059127 74062945191133770068678  Lokalizacja: Adres: www.inpost.pl Miasto: KRAKOW Kraj: POLSKA Data wykonania operacji: 2025-07-09 02:00 Oryginalna kwota operacji: 18.99 Numer karty: 425125******0264 (18.99 PLN)</t>
  </si>
  <si>
    <t>Tytuł: 000414361 74143615192000081324739  Lokalizacja: Adres: RYANAIR     GWUHHF0 Miasto: K67X452 Kraj: IRLANDIA Data wykonania operacji: 2025-07-09 02:00 Oryginalna kwota operacji: 731.20 Numer karty: 425125******0264 (731.20 PLN)</t>
  </si>
  <si>
    <t>Tytuł: 010066928 74056285190108549783633  Lokalizacja: Adres: Dodatek do P*RC06Y8754 Miasto: primevideo.pl Kraj: LUKSEMBURG Data wykonania operacji: 2025-07-09 02:00 Oryginalna kwota operacji: 24.99 Numer karty: 425125******0264 (24.99 PLN)</t>
  </si>
  <si>
    <t>Tytuł: 010085232 74350275189010593613004  Lokalizacja: Adres: Revolut**7108* Miasto: Dublin Kraj: IRLANDIA Data wykonania operacji: 2025-07-08 02:00 Oryginalna kwota operacji: 1000.00 Numer karty: 425125******0264 (1000.00 PLN)</t>
  </si>
  <si>
    <t>Rachunek odbiorcy: 21 1020 4027 3011 0000 3014 3739 Nazwa odbiorcy: INEA SP. Z O.O.WYSOGOTOWO,UL.WIERZB OWA 8462-081 PRZEŹMIEROWO Tytuł: 96680/2025/07/IS/DS   Referencje własne zleceniodawcy: 175837724228 (103.50 PLN)</t>
  </si>
  <si>
    <t>Tytuł: 000498849 74230785188171006333674  Lokalizacja: Adres: ZABKA Z0685 K.1 Miasto: POZNAN Kraj: POLSKA Data wykonania operacji: 2025-07-07 02:00 Oryginalna kwota operacji: 17.30 Numer karty: 425125******0264 (17.30 PLN)</t>
  </si>
  <si>
    <t>Tytuł: 010066928 74056285188106669067591  Lokalizacja: Adres: APPLE.COM/BILL Miasto: APPLE.COM/BIL Kraj: IRLANDIA Data wykonania operacji: 2025-07-07 02:00 Oryginalna kwota operacji: 29.99 Numer karty: 425125******0264 (29.99 PLN)</t>
  </si>
  <si>
    <t>Tytuł: 010061097 74169505188621882723908  Lokalizacja: Adres: PRACOWNIA PSYCHOLOGICZNA Miasto: POZNAN Kraj: POLSKA Data wykonania operacji: 2025-07-07 02:00 Oryginalna kwota operacji: 250.00 Numer karty: 425125******0264 (250.00 PLN)</t>
  </si>
  <si>
    <t>Tytuł: 000498849 74230785189171036905409  Lokalizacja: Adres: NETTO 5304 SCO K.3 Miasto: POZNAN Kraj: POLSKA Data wykonania operacji: 2025-07-07 02:00 Oryginalna kwota operacji: 71.12 Numer karty: 425125******0264 (71.12 PLN)</t>
  </si>
  <si>
    <t>Rachunek odbiorcy: 73 1090 2372 0000 0001 1332 9442 Nazwa odbiorcy: MARTA SZCZYGIEŁ Tytuł: PRZELEW NA TELEFON  OD: 48796555364 DO: 486*****967 (400.00 PLN)</t>
  </si>
  <si>
    <t>Tytuł: OBCY 00000089333213865   Numer telefonu: 48796555364 Lokalizacja: Adres: UL  RYCHTALSKA 8 Miasto: WROCLAW Kraj: POLSKA Bankomat: OBCY 'Operacja: 00000089333213865 Numer referencyjny: 00000089333213865 (400.00 PLN)</t>
  </si>
  <si>
    <t>Tytuł: 010062941 74987505187003679565092  Lokalizacja: Adres: BOLT.EU/O/2507061949 Miasto: Warsaw Kraj: POLSKA Data wykonania operacji: 2025-07-06 02:00 Oryginalna kwota operacji: 22.92 Numer karty: 425125******0264 (22.92 PLN)</t>
  </si>
  <si>
    <t>Tytuł:  74838495188318078301657  Lokalizacja: Adres: Sklep McDonalds Warszaw Miasto: WARSZAWA Kraj: POLSKA Data wykonania operacji: 2025-07-06 02:00 Oryginalna kwota operacji: 31.90 Numer karty: 425125******0264 (31.90 PLN)</t>
  </si>
  <si>
    <t>Tytuł: 000916920 74987075188030643088268  Lokalizacja: Adres: olx.pl Miasto: POZNAN Kraj: POLSKA Data wykonania operacji: 2025-07-06 02:00 Oryginalna kwota operacji: 72.09 Numer karty: 425125******0264 (72.09 PLN)</t>
  </si>
  <si>
    <t>Rachunek odbiorcy: 32 1140 2004 0000 3102 7400 2816 Nazwa odbiorcy: ODBIORCA PRZELEWU NA TELEFON Tytuł: KAWALERSKI BOGUSZA  OD: 48796555364 DO: 485*****464 (2117.00 PLN)</t>
  </si>
  <si>
    <t>Nazwa odbiorcy: MOBILE-TRAFFIC-DATA SP. Z O. O. Adres odbiorcy: UL. DRUŻBICKIEGO 11 61-693 POZNAŃ Tytuł: ZAKUP BILETU KOMUNIKACYJNEGO W APLI KACJI IKO  Referencje własne zleceniodawcy: 175825976908 (4.00 PLN)</t>
  </si>
  <si>
    <t>Rachunek odbiorcy: 24 1020 5226 0000 6302 0653 2255 Nazwa odbiorcy: OLAF RADOSŁAW KRAWCZYK Adres odbiorcy: UL. DĘBOWA 7 47-420 KUŹNIA RACIBORSKA Tytuł: FX77540298 EUR/PLN 4.2796  450,00 EUR -1 925,82 PLN Referencje własne zleceniodawcy: 77540298 (1925.82 PLN)</t>
  </si>
  <si>
    <t>Tytuł:  74838495185317494666068  Lokalizacja: Adres: Sklep McDonalds Warszaw Miasto: WARSZAWA Kraj: POLSKA Data wykonania operacji: 2025-07-03 02:00 Oryginalna kwota operacji: 34.80 Numer karty: 425125******0264 (34.80 PLN)</t>
  </si>
  <si>
    <t>Tytuł: 010061097 74169505184641844438324  Lokalizacja: Adres: PHZ BALTONA B39 Miasto: POZNAN Kraj: POLSKA Data wykonania operacji: 2025-07-03 02:00 Oryginalna kwota operacji: 6.90 Numer karty: 425125******0264 (6.90 PLN)</t>
  </si>
  <si>
    <t>Tytuł:  74810315184162348764690  Lokalizacja: Adres: Costa Coffee Miasto: Warszawa Kraj: POLSKA Data wykonania operacji: 2025-07-03 02:00 Oryginalna kwota operacji: 31.00 Numer karty: 425125******0264 (31.00 PLN)</t>
  </si>
  <si>
    <t>Tytuł: 010066928 74056285184102794327962  Lokalizacja: Adres: APPLE.COM/BILL Miasto: APPLE.COM/BIL Kraj: IRLANDIA Data wykonania operacji: 2025-07-03 02:00 Oryginalna kwota operacji: 59.99 Numer karty: 425125******0264 (59.99 PLN)</t>
  </si>
  <si>
    <t>Rachunek odbiorcy: 24 1020 5226 0000 6302 0653 2255 Nazwa odbiorcy: OLAF RADOSŁAW KRAWCZYK Adres odbiorcy: UL. DĘBOWA 7 47-420 KUŹNIA RACIBORSKA Tytuł: FX77491583 EUR/PLN 4.2638  150,00 EUR -639,57 PLN Referencje własne zleceniodawcy: 77491583 (639.57 PLN)</t>
  </si>
  <si>
    <t>Tytuł: 000498849 74230785183170648087925  Lokalizacja: Adres: SOUP CULTURE ROSWELL Miasto: POZNAN Kraj: POLSKA Data wykonania operacji: 2025-07-02 02:00 Oryginalna kwota operacji: 22.00 Numer karty: 425125******0264 (22.00 PLN)</t>
  </si>
  <si>
    <t>Rachunek odbiorcy: 41 1020 1026 3476 0003 1783 2524 Nazwa odbiorcy: PKO TOWARZYSTWO UBEZPIECZEŃ SPÓŁKA AKCYJNA Tytuł: UT/0317832524 (28.53 PLN)</t>
  </si>
  <si>
    <t>Tytuł: 010085232 74350275181010474292694  Lokalizacja: Adres: Revolut**7108* Miasto: Dublin Kraj: IRLANDIA Data wykonania operacji: 2025-06-30 02:00 Oryginalna kwota operacji: 1000.00 Numer karty: 425125******0264 (1000.00 PLN)</t>
  </si>
  <si>
    <t>Rachunek odbiorcy: 21 1940 1076 6256 6800 0000 0000 Nazwa odbiorcy: ADAM TYŻYK Tytuł: 12 MP/07/2025   Referencje własne zleceniodawcy: 175806839607 (363.00 PLN)</t>
  </si>
  <si>
    <t>Tytuł:  74838495181316913729840  Lokalizacja: Adres: ORLEN STACJA NR 600 Miasto: POZNAN Kraj: POLSKA Data wykonania operacji: 2025-06-29 02:00 Oryginalna kwota operacji: 8.79 Numer karty: 425125******0264 (8.79 PLN)</t>
  </si>
  <si>
    <t>Urząd Skarbowy Centrum Rozliczeniowe   /TI/N6392015837/OKR/25M06/SFP/VAT7</t>
  </si>
  <si>
    <t>Urząd Skarbowy Centrum Rozliczeniowe   /TI/N6392015837/OKR/25M06/SFP/PPE</t>
  </si>
  <si>
    <t>ORLEN STACJA NR 199  KUZNIA RACIBO   Płatność kartą 19.07.2025 Nr karty 4598xx4778</t>
  </si>
  <si>
    <t>Q Hotel Plus Wrocla  Wroclaw  POL   Płatność kartą 17.07.2025 Nr karty 4598xx4778</t>
  </si>
  <si>
    <t>SERWIS HYUNDAI BARANOW  BARANOWO 62   Płatność kartą 16.07.2025 Nr karty 4598xx4778</t>
  </si>
  <si>
    <t>Allegro  Poznan 60166 POL   Płatność kartą 16.07.2025 Nr karty 4598xx4778</t>
  </si>
  <si>
    <t>Orange Polska S.A. Aleje Jerozolimskie 160 02-326 Warszawa NIP 526-025-09-95   F0083222849/007/25</t>
  </si>
  <si>
    <t>P4 Sp. z o.o. ul. Wynalazek 1 02-677 Warszawa   F/10163894/07/25</t>
  </si>
  <si>
    <t>Urząd Skarbowy Centrum Rozliczeniowe   /TI/N6392015837/OKR/25M06/SFP/PIT4R</t>
  </si>
  <si>
    <t>WWW BILKOM PL  WARSZAWA  POL   Płatność kartą 13.07.2025 Nr karty 4598xx4778</t>
  </si>
  <si>
    <t>STARY BROWAR POLWIEJSKA 3  POZNAN 6   Wypłata gotówki 12.07.2025 Nr karty 4598xx4778</t>
  </si>
  <si>
    <t>SERWIS HYUNDAI BARANOW  BARANOWO 62   Płatność kartą 10.07.2025 Nr karty 4598xx4778</t>
  </si>
  <si>
    <t>Zakład Ubezpieczeń Społecznych 47-400 Racibórz   Ubezpieczenie zdrowotne 06.2025</t>
  </si>
  <si>
    <t>BNP Paribas Leasing Services Sp. z o.o. 00-844 Warszawa, ul.Grzybowska 78   11059/07/2025/RL/LS</t>
  </si>
  <si>
    <t>ksiegowa</t>
  </si>
  <si>
    <t>Tytuł:  74838495210321572945823  Lokalizacja: Adres: MITTE Miasto: POZNAN Kraj: POLSKA Data wykonania operacji: 2025-07-29 02:00 Oryginalna kwota operacji: 47.00 Numer karty: 425125******0264 (47.00 PLN)</t>
  </si>
  <si>
    <t>Tytuł: 010061097 74169505210642103051244  Lokalizacja: Adres: FABRYKA FORMY POZNAN BALT Miasto: POZNAN Kraj: POLSKA Data wykonania operacji: 2025-07-29 02:00 Oryginalna kwota operacji: 4.50 Numer karty: 425125******0264 (4.50 PLN)</t>
  </si>
  <si>
    <t>Tytuł: 000498849 74230785209172457498615  Lokalizacja: Adres: ZABKA Z1521 K.2 Miasto: POZNAN Kraj: POLSKA Data wykonania operacji: 2025-07-28 02:00 Oryginalna kwota operacji: 8.50 Numer karty: 425125******0264 (8.50 PLN)</t>
  </si>
  <si>
    <t>Tytuł: 010061097 74169505209612092094441  Lokalizacja: Adres: PRACOWNIA PSYCHOLOGICZNA Miasto: POZNAN Kraj: POLSKA Data wykonania operacji: 2025-07-28 02:00 Oryginalna kwota operacji: 250.00 Numer karty: 425125******0264 (250.00 PLN)</t>
  </si>
  <si>
    <t>Tytuł: 000498849 74230785209172437760753  Lokalizacja: Adres: SOUP CULTURE ROSWELL Miasto: POZNAN Kraj: POLSKA Data wykonania operacji: 2025-07-28 02:00 Oryginalna kwota operacji: 22.00 Numer karty: 425125******0264 (22.00 PLN)</t>
  </si>
  <si>
    <t>Nazwa odbiorcy: MOBILE-TRAFFIC-DATA SP. Z O. O. Adres odbiorcy: UL. DRUŻBICKIEGO 11 61-693 POZNAŃ Tytuł: ZAKUP BILETU KOMUNIKACYJNEGO W APLI KACJI IKO  Referencje własne zleceniodawcy: 175897676416 (4.00 PLN)</t>
  </si>
  <si>
    <t>Nazwa odbiorcy: MOBILE-TRAFFIC-DATA SP. Z O. O. Adres odbiorcy: UL. DRUŻBICKIEGO 11 61-693 POZNAŃ Tytuł: ZAKUP BILETU KOMUNIKACYJNEGO W APLI KACJI IKO  Referencje własne zleceniodawcy: 175897485870 (4.00 PLN)</t>
  </si>
  <si>
    <t>Tytuł: 010062941 74987505207003315716089  Lokalizacja: Adres: Wolt Miasto: Warszawa Kraj: POLSKA Data wykonania operacji: 2025-07-26 02:00 Oryginalna kwota operacji: 64.82 Numer karty: 425125******0264 (64.82 PLN)</t>
  </si>
  <si>
    <t>Tytuł: 00000089135103356   Numer telefonu: 48796555364 Lokalizacja: Adres: doladuj.plus.pl 'Operacja: 00000089135103356 Numer referencyjny: 00000089135103356 (5.00 PLN)</t>
  </si>
  <si>
    <t>Tytuł:  74838495179316725552566  Lokalizacja: Adres: STARE TBILISI YANA OLIU Miasto: POZNAN Kraj: POLSKA Data wykonania operacji: 2025-06-28 02:00 Oryginalna kwota operacji: 6.00 Numer karty: 425125******0264 (6.00 PLN)</t>
  </si>
  <si>
    <t>Tytuł:  74838495180316723024821  Lokalizacja: Adres: LIDL MATYI Miasto: POZNAN Kraj: POLSKA Data wykonania operacji: 2025-06-28 02:00 Oryginalna kwota operacji: 91.09 Numer karty: 425125******0264 (91.09 PLN)</t>
  </si>
  <si>
    <t>Tytuł: 000498849 74230785180170428022871  Lokalizacja: Adres: NETTO 5304 SCO K.2 Miasto: POZNAN Kraj: POLSKA Data wykonania operacji: 2025-06-28 02:00 Oryginalna kwota operacji: 41.31 Numer karty: 425125******0264 (41.31 PLN)</t>
  </si>
  <si>
    <t>Tytuł:  74838495178316629756108  Lokalizacja: Adres: UKI UKI Miasto: WARSZAWA Kraj: POLSKA Data wykonania operacji: 2025-06-27 02:00 Oryginalna kwota operacji: 70.00 Numer karty: 425125******0264 (70.00 PLN)</t>
  </si>
  <si>
    <t>Tytuł:  74410495178025297766952  Lokalizacja: Adres: Foka Mochi       56748 Miasto: WARSZAWA Kraj: POLSKA Data wykonania operacji: 2025-06-27 02:00 Oryginalna kwota operacji: 19.00 Numer karty: 425125******0264 (19.00 PLN)</t>
  </si>
  <si>
    <t>Tytuł: 010061097 74463675178501791766337  Lokalizacja: Adres: WWW BILKOM PL Miasto: WARSZAWA Kraj: POLSKA Data wykonania operacji: 2025-06-27 02:00 Oryginalna kwota operacji: 149.00 Numer karty: 425125******0264 (149.00 PLN)</t>
  </si>
  <si>
    <t>Tytuł: 000498849 74230785178170314281692  Lokalizacja: Adres: ZABKA Z0685 K.1 Miasto: POZNAN Kraj: POLSKA Data wykonania operacji: 2025-06-27 02:00 Oryginalna kwota operacji: 4.50 Numer karty: 425125******0264 (4.50 PLN)</t>
  </si>
  <si>
    <t>Tytuł:  74838495178316559138442  Lokalizacja: Adres: ALL GOOD S.A. KAWIAR 02 Miasto: WARSZAWA Kraj: POLSKA Data wykonania operacji: 2025-06-27 02:00 Oryginalna kwota operacji: 20.00 Numer karty: 425125******0264 (20.00 PLN)</t>
  </si>
  <si>
    <t>Tytuł:  74810315178161829276198  Lokalizacja: Adres: MUR Miasto: Krakow Kraj: POLSKA Data wykonania operacji: 2025-06-27 02:00 Oryginalna kwota operacji: 170.00 Numer karty: 425125******0264 (170.00 PLN)</t>
  </si>
  <si>
    <t>Tytuł:  74810315178161776884390  Lokalizacja: Adres: SANDRAS MATCHA Miasto: WARSZAWA Kraj: POLSKA Data wykonania operacji: 2025-06-27 02:00 Oryginalna kwota operacji: 24.30 Numer karty: 425125******0264 (24.30 PLN)</t>
  </si>
  <si>
    <t>Tytuł: 010061097 74463675178501791767764  Lokalizacja: Adres: WWW BILKOM PL Miasto: WARSZAWA Kraj: POLSKA Data wykonania operacji: 2025-06-27 02:00 Oryginalna kwota operacji: 149.00 Numer karty: 425125******0264 (149.00 PLN)</t>
  </si>
  <si>
    <t>Tytuł: 000498849 74230785178170322850918  Lokalizacja: Adres: ZABKA Z8683 K.1 Miasto: WARSZAWA Kraj: POLSKA Data wykonania operacji: 2025-06-27 02:00 Oryginalna kwota operacji: 17.49 Numer karty: 425125******0264 (17.49 PLN)</t>
  </si>
  <si>
    <t>Tytuł: 010061097 74169505178651783676816  Lokalizacja: Adres: HAPPA TO MAME Miasto: POZNAN Kraj: POLSKA Data wykonania operacji: 2025-06-27 02:00 Oryginalna kwota operacji: 48.00 Numer karty: 425125******0264 (48.00 PLN)</t>
  </si>
  <si>
    <t>Tytuł:  74838495178316589744615  Lokalizacja: Adres: ALL GOOD S.A. KAWIAR 02 Miasto: WARSZAWA Kraj: POLSKA Data wykonania operacji: 2025-06-27 02:00 Oryginalna kwota operacji: 50.00 Numer karty: 425125******0264 (50.00 PLN)</t>
  </si>
  <si>
    <t>Tytuł:  74838495177316390018200  Lokalizacja: Adres: ZIKO APTEKA 05 Miasto: Poznan Kraj: POLSKA Data wykonania operacji: 2025-06-26 02:00 Oryginalna kwota operacji: 50.49 Numer karty: 425125******0264 (50.49 PLN)</t>
  </si>
  <si>
    <t>Tytuł: 000498849 74230785177170227140259  Lokalizacja: Adres: ZABKA Z5606 K.2 Miasto: POZNAN Kraj: POLSKA Data wykonania operacji: 2025-06-26 02:00 Oryginalna kwota operacji: 9.99 Numer karty: 425125******0264 (9.99 PLN)</t>
  </si>
  <si>
    <t>Tytuł:  74810315177161695044358  Lokalizacja: Adres: RESTAURACJA LORO Miasto: POZNAN Kraj: POLSKA Data wykonania operacji: 2025-06-26 02:00 Oryginalna kwota operacji: 32.00 Numer karty: 425125******0264 (32.00 PLN)</t>
  </si>
  <si>
    <t>Tytuł: 000498849 74230785177170201527877  Lokalizacja: Adres: NETTO 5304 SCO K.3 Miasto: POZNAN Kraj: POLSKA Data wykonania operacji: 2025-06-25 02:00 Oryginalna kwota operacji: 25.28 Numer karty: 425125******0264 (25.28 PLN)</t>
  </si>
  <si>
    <t>Tytuł: 010082965 74987075177030255396325  Lokalizacja: Adres: Allegro Miasto: Poznan Kraj: POLSKA Data wykonania operacji: 2025-06-25 02:00 Oryginalna kwota operacji: 45.00 Numer karty: 425125******0264 (45.00 PLN)</t>
  </si>
  <si>
    <t>Tytuł: 000498849 74230785176170131358139  Lokalizacja: Adres: NETTO 5304 SCO K.3 Miasto: POZNAN Kraj: POLSKA Data wykonania operacji: 2025-06-24 02:00 Oryginalna kwota operacji: 25.97 Numer karty: 425125******0264 (25.97 PLN)</t>
  </si>
  <si>
    <t>Tytuł:  74410495174025237102783  Lokalizacja: Adres: Gospodarstwo Roln74291 Miasto: Poznan Kraj: POLSKA Data wykonania operacji: 2025-06-23 02:00 Oryginalna kwota operacji: 23.80 Numer karty: 425125******0264 (23.80 PLN)</t>
  </si>
  <si>
    <t>Tytuł:  74838495174315953382493  Lokalizacja: Adres: ZIKO APTEKA 05 Miasto: Poznan Kraj: POLSKA Data wykonania operacji: 2025-06-23 02:00 Oryginalna kwota operacji: 338.55 Numer karty: 425125******0264 (338.55 PLN)</t>
  </si>
  <si>
    <t>Tytuł: 010061097 74169505174611746798366  Lokalizacja: Adres: PRACOWNIA PSYCHOLOGICZNA Miasto: POZNAN Kraj: POLSKA Data wykonania operacji: 2025-06-23 02:00 Oryginalna kwota operacji: 250.00 Numer karty: 425125******0264 (250.00 PLN)</t>
  </si>
  <si>
    <t>Tytuł: 000498849 74230785175170053494251  Lokalizacja: Adres: SYNAPSIS MED Miasto: POZNAN Kraj: POLSKA Data wykonania operacji: 2025-06-23 02:00 Oryginalna kwota operacji: 280.00 Numer karty: 425125******0264 (280.00 PLN)</t>
  </si>
  <si>
    <t>Tytuł: 010061097 74463675173591735843016  Lokalizacja: Adres: MYJNIA ADEX Miasto: RYBNIK Kraj: POLSKA Data wykonania operacji: 2025-06-21 02:00 Oryginalna kwota operacji: 5.00 Numer karty: 425125******0264 (5.00 PLN)</t>
  </si>
  <si>
    <t>Tytuł: 010061097 74463675173591735843032  Lokalizacja: Adres: MYJNIA ADEX Miasto: RYBNIK Kraj: POLSKA Data wykonania operacji: 2025-06-21 02:00 Oryginalna kwota operacji: 2.00 Numer karty: 425125******0264 (2.00 PLN)</t>
  </si>
  <si>
    <t>Tytuł: 010061097 74463675173591735842513  Lokalizacja: Adres: MYJNIA ADEX Miasto: RYBNIK Kraj: POLSKA Data wykonania operacji: 2025-06-21 02:00 Oryginalna kwota operacji: 2.00 Numer karty: 425125******0264 (2.00 PLN)</t>
  </si>
  <si>
    <t>Tytuł: 010061097 74463675173591735842760  Lokalizacja: Adres: MYJNIA ADEX Miasto: RYBNIK Kraj: POLSKA Data wykonania operacji: 2025-06-21 02:00 Oryginalna kwota operacji: 5.00 Numer karty: 425125******0264 (5.00 PLN)</t>
  </si>
  <si>
    <t>Tytuł: 00000089029348003   Numer telefonu: 48796555364 Lokalizacja: Adres: doladuj.plus.pl 'Operacja: 00000089029348003 Numer referencyjny: 00000089029348003 (5.00 PLN)</t>
  </si>
  <si>
    <t>Tytuł:  74988855172496403120561  Lokalizacja: Adres: JMP S.A. BIEDRONKA 3352 Miasto: KUZNIA RACIBO Kraj: POLSKA Data wykonania operacji: 2025-06-21 02:00 Oryginalna kwota operacji: 54.45 Numer karty: 425125******0264 (54.45 PLN)</t>
  </si>
  <si>
    <t>Tytuł:  74810315172161129651708  Lokalizacja: Adres: MYJNIA HENRYK DLUGOSZ Miasto: Kuznia Racibo Kraj: POLSKA Data wykonania operacji: 2025-06-21 02:00 Oryginalna kwota operacji: 4.00 Numer karty: 425125******0264 (4.00 PLN)</t>
  </si>
  <si>
    <t>Tytuł:  74810315172161130150310  Lokalizacja: Adres: MYJNIA HENRYK DLUGOSZ Miasto: Kuznia Racibo Kraj: POLSKA Data wykonania operacji: 2025-06-21 02:00 Oryginalna kwota operacji: 4.00 Numer karty: 425125******0264 (4.00 PLN)</t>
  </si>
  <si>
    <t>Rachunek odbiorcy: 18 1140 2004 0000 3202 7583 1760 Nazwa odbiorcy: WOJCIECH BOGUSZ Tytuł: PRZELEW NA TELEFON  OD: 48796555364 DO: 486*****503 (115.00 PLN)</t>
  </si>
  <si>
    <t>Tytuł:  74837975172499851109861  Lokalizacja: Adres: IKEA Katowice Miasto: Katowice Kraj: POLSKA Data wykonania operacji: 2025-06-20 02:00 Oryginalna kwota operacji: 149.56 Numer karty: 425125******0264 (149.56 PLN)</t>
  </si>
  <si>
    <t>Tytuł:  74988855171496530041467  Lokalizacja: Adres: JMP S.A. BIEDRONKA 6374 Miasto: KATOWICE Kraj: POLSKA Data wykonania operacji: 2025-06-20 02:00 Oryginalna kwota operacji: 49.77 Numer karty: 425125******0264 (49.77 PLN)</t>
  </si>
  <si>
    <t>Tytuł: 010082965 74987075172030109942618  Lokalizacja: Adres: Allegro Miasto: Poznan Kraj: POLSKA Data wykonania operacji: 2025-06-20 02:00 Oryginalna kwota operacji: 65.00 Numer karty: 425125******0264 (65.00 PLN)</t>
  </si>
  <si>
    <t>Tytuł: 010061097 74463675171581712433909  Lokalizacja: Adres: PROCAR WOJCIECH MEDRALA Miasto: NYSA Kraj: POLSKA Data wykonania operacji: 2025-06-19 02:00 Oryginalna kwota operacji: 5.00 Numer karty: 425125******0264 (5.00 PLN)</t>
  </si>
  <si>
    <t>Tytuł: 010061097 74463675171581712433610  Lokalizacja: Adres: PROCAR WOJCIECH MEDRALA Miasto: NYSA Kraj: POLSKA Data wykonania operacji: 2025-06-19 02:00 Oryginalna kwota operacji: 2.00 Numer karty: 425125******0264 (2.00 PLN)</t>
  </si>
  <si>
    <t>Tytuł:  74838495170315385519666  Lokalizacja: Adres: PL KFC RZEDZIWOJOWICE A Miasto: RZEDZIWOJOWIC Kraj: POLSKA Data wykonania operacji: 2025-06-19 02:00 Oryginalna kwota operacji: 24.99 Numer karty: 425125******0264 (24.99 PLN)</t>
  </si>
  <si>
    <t>Tytuł:  74838495169315105882819  Lokalizacja: Adres: LIDL 1884 Miasto: POZNAN Kraj: POLSKA Data wykonania operacji: 2025-06-17 02:00 Oryginalna kwota operacji: 27.22 Numer karty: 425125******0264 (27.22 PLN)</t>
  </si>
  <si>
    <t>Tytuł:  74810315168160755174684  Lokalizacja: Adres: POLEWSKI CONCEPT Miasto: Poznan Kraj: POLSKA Data wykonania operacji: 2025-06-17 02:00 Oryginalna kwota operacji: 32.00 Numer karty: 425125******0264 (32.00 PLN)</t>
  </si>
  <si>
    <t>Tytuł: 010066928 74056285167100884754740  Lokalizacja: Adres: APPLE.COM/BILL Miasto: APPLE.COM/BIL Kraj: IRLANDIA Data wykonania operacji: 2025-06-16 02:00 Oryginalna kwota operacji: 14.99 Numer karty: 425125******0264 (14.99 PLN)</t>
  </si>
  <si>
    <t>Tytuł: 010071549 74043215167131128414380  Lokalizacja: Adres: PayPro SA   *ALLEGRO SP. Miasto: Poznan Kraj: POLSKA Data wykonania operacji: 2025-06-16 02:00 Oryginalna kwota operacji: 53.55 Numer karty: 425125******0264 (53.55 PLN)</t>
  </si>
  <si>
    <t>Tytuł: 000498849 74230785167169531950983  Lokalizacja: Adres: SOUP CULTURE ROSWELL Miasto: POZNAN Kraj: POLSKA Data wykonania operacji: 2025-06-16 02:00 Oryginalna kwota operacji: 44.00 Numer karty: 425125******0264 (44.00 PLN)</t>
  </si>
  <si>
    <t>Tytuł: 010061097 74169505167611679237795  Lokalizacja: Adres: PRACOWNIA PSYCHOLOGICZNA Miasto: POZNAN Kraj: POLSKA Data wykonania operacji: 2025-06-16 02:00 Oryginalna kwota operacji: 250.00 Numer karty: 425125******0264 (250.00 PLN)</t>
  </si>
  <si>
    <t>Tytuł: 010061097 74463675166501671103019  Lokalizacja: Adres: MEDIAEXPERT PL Miasto: ZLOTOW Kraj: POLSKA Data wykonania operacji: 2025-06-15 02:00 Oryginalna kwota operacji: 109.99 Numer karty: 425125******0264 (109.99 PLN)</t>
  </si>
  <si>
    <t>Tytuł:  74838495166314728188426  Lokalizacja: Adres: PL SBX POZNAN KAPONIERA Miasto: POZNAN Kraj: POLSKA Data wykonania operacji: 2025-06-15 02:00 Oryginalna kwota operacji: 24.90 Numer karty: 425125******0264 (24.90 PLN)</t>
  </si>
  <si>
    <t>Rachunek odbiorcy: 21 1020 4027 3011 0000 3014 3739 Nazwa odbiorcy: INEA SP. Z O.O.WYSOGOTOWO,UL.WIERZB OWA 8462-081 PRZEŹMIEROWO Tytuł: 90784/2025/06/IS/DS   Referencje własne zleceniodawcy: 175754841792 (103.50 PLN)</t>
  </si>
  <si>
    <t>Tytuł: 00000088889128149   Numer telefonu: 48796555364 Lokalizacja: Adres: IKEA POZNAN Miasto: POZNAN Kraj: POLSKA 'Operacja: 00000088889128149 Numer referencyjny: 00000088889128149 (268.43 PLN)</t>
  </si>
  <si>
    <t>Tytuł:  74810315165160503262131  Lokalizacja: Adres: Myjnia bezdotykowa Miasto: Poznan Kraj: POLSKA Data wykonania operacji: 2025-06-14 02:00 Oryginalna kwota operacji: 4.00 Numer karty: 425125******0264 (4.00 PLN)</t>
  </si>
  <si>
    <t>Tytuł:  74810315165160503157877  Lokalizacja: Adres: Myjnia bezdotykowa Miasto: Poznan Kraj: POLSKA Data wykonania operacji: 2025-06-14 02:00 Oryginalna kwota operacji: 4.00 Numer karty: 425125******0264 (4.00 PLN)</t>
  </si>
  <si>
    <t>Tytuł:  74810315165160502939655  Lokalizacja: Adres: Myjnia bezdotykowa Miasto: Poznan Kraj: POLSKA Data wykonania operacji: 2025-06-14 02:00 Oryginalna kwota operacji: 4.00 Numer karty: 425125******0264 (4.00 PLN)</t>
  </si>
  <si>
    <t>Tytuł:  74810315165160502835994  Lokalizacja: Adres: Myjnia bezdotykowa Miasto: Poznan Kraj: POLSKA Data wykonania operacji: 2025-06-14 02:00 Oryginalna kwota operacji: 4.00 Numer karty: 425125******0264 (4.00 PLN)</t>
  </si>
  <si>
    <t>Tytuł:  74810315165160502733611  Lokalizacja: Adres: Myjnia bezdotykowa Miasto: Poznan Kraj: POLSKA Data wykonania operacji: 2025-06-14 02:00 Oryginalna kwota operacji: 4.00 Numer karty: 425125******0264 (4.00 PLN)</t>
  </si>
  <si>
    <t>Tytuł:  74810315165160502612815  Lokalizacja: Adres: Myjnia bezdotykowa Miasto: Poznan Kraj: POLSKA Data wykonania operacji: 2025-06-14 02:00 Oryginalna kwota operacji: 4.00 Numer karty: 425125******0264 (4.00 PLN)</t>
  </si>
  <si>
    <t>Tytuł: 010087885 74987505165000708587044  Lokalizacja: Adres: BsCaffe Grzegorz Bienko Miasto: Stalowa Wola Kraj: POLSKA Data wykonania operacji: 2025-06-14 02:00 Oryginalna kwota operacji: 202.50 Numer karty: 425125******0264 (202.50 PLN)</t>
  </si>
  <si>
    <t>Tytuł:  74810315165160502495856  Lokalizacja: Adres: Myjnia bezdotykowa Miasto: Poznan Kraj: POLSKA Data wykonania operacji: 2025-06-14 02:00 Oryginalna kwota operacji: 4.00 Numer karty: 425125******0264 (4.00 PLN)</t>
  </si>
  <si>
    <t>Tytuł: 010066928 74056285164107855297255  Lokalizacja: Adres: Sklep Prime Video Miasto: primevideo.pl Kraj: LUKSEMBURG Data wykonania operacji: 2025-06-13 02:00 Oryginalna kwota operacji: 9.99 Numer karty: 425125******0264 (9.99 PLN)</t>
  </si>
  <si>
    <t>Tytuł: 000498849 74230785163169236568175  Lokalizacja: Adres: SOUP CULTURE ROSWELL Miasto: POZNAN Kraj: POLSKA Data wykonania operacji: 2025-06-12 02:00 Oryginalna kwota operacji: 37.00 Numer karty: 425125******0264 (37.00 PLN)</t>
  </si>
  <si>
    <t>Tytuł: 000498849 74230785162169181758202  Lokalizacja: Adres: ZABKA Z6210 K.1 Miasto: POZNAN Kraj: POLSKA Data wykonania operacji: 2025-06-11 02:00 Oryginalna kwota operacji: 4.20 Numer karty: 425125******0264 (4.20 PLN)</t>
  </si>
  <si>
    <t>Tytuł: 000498849 74230785162169181457623  Lokalizacja: Adres: ZABKA Z0685 K.1 Miasto: POZNAN Kraj: POLSKA Data wykonania operacji: 2025-06-11 02:00 Oryginalna kwota operacji: 9.99 Numer karty: 425125******0264 (9.99 PLN)</t>
  </si>
  <si>
    <t>Tytuł:  74838495162314092097595  Lokalizacja: Adres: AGRAWKA Miasto: POZNAN Kraj: POLSKA Data wykonania operacji: 2025-06-11 02:00 Oryginalna kwota operacji: 19.00 Numer karty: 425125******0264 (19.00 PLN)</t>
  </si>
  <si>
    <t>Tytuł:  74810315162160106516464  Lokalizacja: Adres: Mowish Mash Miasto: Poznan Kraj: POLSKA Data wykonania operacji: 2025-06-11 02:00 Oryginalna kwota operacji: 75.00 Numer karty: 425125******0264 (75.00 PLN)</t>
  </si>
  <si>
    <t>Tytuł: 00000088846293495   Numer telefonu: 48796555364 Lokalizacja: Adres: www.upmenu.com 'Operacja: 00000088846293495 Numer referencyjny: 00000088846293495 (42.00 PLN)</t>
  </si>
  <si>
    <t>Tytuł: 00000088836652854   Numer telefonu: 48796555364 Lokalizacja: Adres: www.paperconcept.pl 'Operacja: 00000088836652854 Numer referencyjny: 00000088836652854 (63.00 PLN)</t>
  </si>
  <si>
    <t>Tytuł: 000498849 74230785162169136656311  Lokalizacja: Adres: NETTO 5304 SCO K.1 Miasto: POZNAN Kraj: POLSKA Data wykonania operacji: 2025-06-10 02:00 Oryginalna kwota operacji: 8.99 Numer karty: 425125******0264 (8.99 PLN)</t>
  </si>
  <si>
    <t>Tytuł: 010061097 74169505160611600623086  Lokalizacja: Adres: PRACOWNIA PSYCHOLOGICZNA Miasto: POZNAN Kraj: POLSKA Data wykonania operacji: 2025-06-09 02:00 Oryginalna kwota operacji: 250.00 Numer karty: 425125******0264 (250.00 PLN)</t>
  </si>
  <si>
    <t>Tytuł: 000498849 74230785161169061680303  Lokalizacja: Adres: NETTO 5304 SCO K.3 Miasto: POZNAN Kraj: POLSKA Data wykonania operacji: 2025-06-09 02:00 Oryginalna kwota operacji: 21.63 Numer karty: 425125******0264 (21.63 PLN)</t>
  </si>
  <si>
    <t>Tytuł: S1PO2028 6600 00000088794027761   Numer telefonu: 48796555364 Lokalizacja: Adres: UL. ROOSEVELTA 11 Miasto: POZNAN Kraj: POLSKA Bankomat: S1PO2028 'Operacja: 6600 00000088794027761 Numer referencyjny: 6600 00000088794027761 (300.00 PLN)</t>
  </si>
  <si>
    <t>Tytuł: 010082965 74987075159029656735240  Lokalizacja: Adres: Allegro Miasto: Poznan Kraj: POLSKA Data wykonania operacji: 2025-06-07 02:00 Oryginalna kwota operacji: 45.00 Numer karty: 425125******0264 (45.00 PLN)</t>
  </si>
  <si>
    <t>Tytuł: 010061097 74463675158501591607503  Lokalizacja: Adres: ZJEDZ MY Miasto: SZCZECIN Kraj: POLSKA Data wykonania operacji: 2025-06-07 02:00 Oryginalna kwota operacji: 206.00 Numer karty: 425125******0264 (206.00 PLN)</t>
  </si>
  <si>
    <t>Tytuł: 000498849 74230785159168953370662  Lokalizacja: Adres: NETTO 5304 SCO K.1 Miasto: POZNAN Kraj: POLSKA Data wykonania operacji: 2025-06-07 02:00 Oryginalna kwota operacji: 16.08 Numer karty: 425125******0264 (16.08 PLN)</t>
  </si>
  <si>
    <t>Tytuł: 000498849 74230785156168770837391  Lokalizacja: Adres: ZABKA Z0685 K.1 Miasto: POZNAN Kraj: POLSKA Data wykonania operacji: 2025-06-05 02:00 Oryginalna kwota operacji: 19.49 Numer karty: 425125******0264 (19.49 PLN)</t>
  </si>
  <si>
    <t>Tytuł: 010085232 74350275155010119906114  Lokalizacja: Adres: Revolut**7108* Miasto: Dublin Kraj: IRLANDIA Data wykonania operacji: 2025-06-04 02:00 Oryginalna kwota operacji: 1100.00 Numer karty: 425125******0264 (1100.00 PLN)</t>
  </si>
  <si>
    <t>Tytuł:  74838495155312985454252  Lokalizacja: Adres: STRAG. Miasto: POZNAN Kraj: POLSKA Data wykonania operacji: 2025-06-04 02:00 Oryginalna kwota operacji: 19.00 Numer karty: 425125******0264 (19.00 PLN)</t>
  </si>
  <si>
    <t>Tytuł: 00000088691867892   Numer telefonu: 48796555364 Lokalizacja: Adres: www.upmenu.com 'Operacja: 00000088691867892 Numer referencyjny: 00000088691867892 (42.00 PLN)</t>
  </si>
  <si>
    <t>Tytuł:  74838495155312861189956  Lokalizacja: Adres: LIDL MATYI Miasto: POZNAN Kraj: POLSKA Data wykonania operacji: 2025-06-03 02:00 Oryginalna kwota operacji: 12.99 Numer karty: 425125******0264 (12.99 PLN)</t>
  </si>
  <si>
    <t>Tytuł: 000498849 74230785154168599982966  Lokalizacja: Adres: MEDIA MARKT P519 K.102 Miasto: POZNAN Kraj: POLSKA Data wykonania operacji: 2025-06-03 02:00 Oryginalna kwota operacji: 133.98 Numer karty: 425125******0264 (133.98 PLN)</t>
  </si>
  <si>
    <t>Tytuł: 000498849 74230785154168587916349  Lokalizacja: Adres: NETTO 5304 SCO K.2 Miasto: POZNAN Kraj: POLSKA Data wykonania operacji: 2025-06-02 02:00 Oryginalna kwota operacji: 158.12 Numer karty: 425125******0264 (158.12 PLN)</t>
  </si>
  <si>
    <t>Rachunek odbiorcy: 21 1940 1076 6256 6800 0000 0000 Nazwa odbiorcy: ADAM TYŻYK Tytuł: 12 MP/06/2025   Referencje własne zleceniodawcy: 175709436231 (363.00 PLN)</t>
  </si>
  <si>
    <t>Tytuł: OBCY 00000088634580725   Numer telefonu: 48796555364 Lokalizacja: Adres: LEGNICKA 58 Miasto: WROCLAW Kraj: POLSKA Bankomat: OBCY 'Operacja: 00000088634580725 Numer referencyjny: 00000088634580725 (350.00 PLN)</t>
  </si>
  <si>
    <t>Tytuł: 000498849 74230785152168507134744  Lokalizacja: Adres: ZABKA Z5606 K.2 Miasto: POZNAN Kraj: POLSKA Data wykonania operacji: 2025-06-01 02:00 Oryginalna kwota operacji: 14.00 Numer karty: 425125******0264 (14.00 PLN)</t>
  </si>
  <si>
    <t>Rachunek odbiorcy: 73 1090 2372 0000 0001 1332 9442 Nazwa odbiorcy: MARTA SZCZYGIEŁ Tytuł: PRZELEW NA TELEFON  OD: 48796555364 DO: 486*****967 (1400.00 PLN)</t>
  </si>
  <si>
    <t>Tytuł: 00000088594870957   Numer telefonu: 48796555364 Lokalizacja: Adres: www.mobilet.pl 'Operacja: 00000088594870957 Numer referencyjny: 00000088594870957 (30.00 PLN)</t>
  </si>
  <si>
    <t>Nazwa odbiorcy: MOBILE-TRAFFIC-DATA SP. Z O. O. Adres odbiorcy: UL. DRUŻBICKIEGO 11 61-693 POZNAŃ Tytuł: ZAKUP BILETU KOMUNIKACYJNEGO W APLI KACJI IKO  Referencje własne zleceniodawcy: 175701604284 (4.00 PLN)</t>
  </si>
  <si>
    <t>Tytuł: 000498849 74230785151168401661132  Lokalizacja: Adres: PLON1 Miasto: WROCLAW Kraj: POLSKA Data wykonania operacji: 2025-05-31 02:00 Oryginalna kwota operacji: 109.50 Numer karty: 425125******0264 (109.50 PLN)</t>
  </si>
  <si>
    <t>Tytuł:  74810315151158971186119  Lokalizacja: Adres: good good Miasto: Wroclaw Kraj: POLSKA Data wykonania operacji: 2025-05-31 02:00 Oryginalna kwota operacji: 54.00 Numer karty: 425125******0264 (54.00 PLN)</t>
  </si>
  <si>
    <t>Tytuł: 010059127 74043215151129320183710  Lokalizacja: Adres: NFM APM Miasto: Wroclaw Kraj: POLSKA Data wykonania operacji: 2025-05-31 02:00 Oryginalna kwota operacji: 40.00 Numer karty: 425125******0264 (40.00 PLN)</t>
  </si>
  <si>
    <t>Tytuł: 010072805 24871155151094205976317  Lokalizacja: Adres: ALIEXPRESS.COM Miasto: Luxembourg Kraj: LUKSEMBURG Data wykonania operacji: 2025-05-31 02:00 Oryginalna kwota operacji: 118.91 Numer karty: 425125******0264 (118.91 PLN)</t>
  </si>
  <si>
    <t>Tytuł:  74838495152312458714961  Lokalizacja: Adres: SKLEP LIDL 1221 WROCLAW Miasto: WROCLAW Kraj: POLSKA Data wykonania operacji: 2025-05-31 02:00 Oryginalna kwota operacji: 301.17 Numer karty: 425125******0264 (301.17 PLN)</t>
  </si>
  <si>
    <t>Tytuł:  74810315151158971410725  Lokalizacja: Adres: good good Miasto: Wroclaw Kraj: POLSKA Data wykonania operacji: 2025-05-31 02:00 Oryginalna kwota operacji: 11.90 Numer karty: 425125******0264 (11.90 PLN)</t>
  </si>
  <si>
    <t>Nazwa odbiorcy: MOBILE-TRAFFIC-DATA SP. Z O. O. Adres odbiorcy: UL. DRUŻBICKIEGO 11 61-693 POZNAŃ Tytuł: ZAKUP BILETU KOMUNIKACYJNEGO W APLI KACJI IKO  Referencje własne zleceniodawcy: 175701561075 (4.00 PLN)</t>
  </si>
  <si>
    <t>Rachunek odbiorcy: 64 1090 2372 0000 0001 1966 4092 Nazwa odbiorcy: AGATA SZCZYGIEŁ Tytuł: WOOSIABI  OD: 48796555364 DO: 486*****559 (82.00 PLN)</t>
  </si>
  <si>
    <t>Tytuł: 010061097 74463675150571501174413  Lokalizacja: Adres: GREEN CAFFE NERO Miasto: WROCLAW Kraj: POLSKA Data wykonania operacji: 2025-05-29 02:00 Oryginalna kwota operacji: 15.10 Numer karty: 425125******0264 (15.10 PLN)</t>
  </si>
  <si>
    <t>Tytuł: 010061097 74463675150571501174041  Lokalizacja: Adres: GREEN CAFFE NERO Miasto: WROCLAW Kraj: POLSKA Data wykonania operacji: 2025-05-29 02:00 Oryginalna kwota operacji: 32.90 Numer karty: 425125******0264 (32.90 PLN)</t>
  </si>
  <si>
    <t>KANCELARIA PODATKOWO-GOSPODARCZA SP ÓŁKA Z OGRANICZONĄ ODPOWIEDZIALNOŚC IĄ ul. Radomska 7 44-164 Gliwice NI P: PL 631-264-51-93   FA/41/06/2025</t>
  </si>
  <si>
    <t>BP-JAGLOWICE 289 TAAS  TRZEBIEL  PO   Płatność kartą 29.06.2025 Nr karty 4598xx4778</t>
  </si>
  <si>
    <t>ORLEN STACJA NR 600  POZNAN  POL   Płatność kartą 29.06.2025 Nr karty 4598xx4778</t>
  </si>
  <si>
    <t>LOUVRE HOTELS GROUP  Warszawa  POL   Płatność kartą 27.06.2025 Nr karty 4598xx4778</t>
  </si>
  <si>
    <t>RESTAURACJA LORO  POZNAN  POL   Płatność kartą 26.06.2025 Nr karty 4598xx4778</t>
  </si>
  <si>
    <t>ORLEN STACJA NR 199  KUZNIA RACIBO   Płatność kartą 21.06.2025 Nr karty 4598xx4778</t>
  </si>
  <si>
    <t>STACJA PALIW NR 727  ZABKOWICE SLA   Płatność kartą 19.06.2025 Nr karty 4598xx4778</t>
  </si>
  <si>
    <t>Zakład Ubezpieczeń Społecznych 47-400 Racibórz   Ubezpieczenie zdrowotne 05.2025</t>
  </si>
  <si>
    <t>Urząd Skarbowy Centrum Rozliczeniowe   /TI/N6392015837/OKR/25M05/SFP/PIT4R</t>
  </si>
  <si>
    <t>Urząd Skarbowy Centrum Rozliczeniowe   /TI/N6392015837/OKR/25M05/SFP/VAT7</t>
  </si>
  <si>
    <t>Urząd Skarbowy Centrum Rozliczeniowe   /TI/N6392015837/OKR/25M05/SFP/PPE</t>
  </si>
  <si>
    <t>Inwestor Group Sp. z o. o. Spółka Komandytowa NIP: 6751577855 Sołtysowska 12B/LU4 31-589 Kraków   17/6/2025/PRO</t>
  </si>
  <si>
    <t>BNP Paribas Leasing Services Sp. z o.o. 00-844 Warszawa, ul.Grzybowska 78   37629/06/2025/RL/LS</t>
  </si>
  <si>
    <t>Orange Polska S.A. Aleje Jerozolimskie 160 02-326 Warszawa NIP 526-025-09-95   F0083222849/006/25</t>
  </si>
  <si>
    <t>P4 Sp. z o.o. ul. Wynalazek 1 02-677 Warszawa   F/10084492/06/25</t>
  </si>
  <si>
    <t>KANCELARIA PODATKOWO-GOSPODARCZA SP ÓŁKA Z OGRANICZONĄ ODPOWIEDZIALNOŚC IĄ ul. Radomska 7 44-164 Gliwice NI P: PL 631-264-51-93   FA/19/05/2025</t>
  </si>
  <si>
    <t>Tytuł:  74810315149158741023563  Lokalizacja: Adres: DENTA Miasto: Wroclaw Kraj: POLSKA Data wykonania operacji: 2025-05-29 02:00 Oryginalna kwota operacji: 1560.00 Numer karty: 425125******0264 (1560.00 PLN)</t>
  </si>
  <si>
    <t>20 516,40</t>
  </si>
  <si>
    <t>Tytuł: 010061097 74463675149611497725242  Lokalizacja: Adres: KBU SPOLKA Z OGRANICZONA Miasto: STARE MIASTO Kraj: POLSKA Data wykonania operacji: 2025-05-29 02:00 Oryginalna kwota operacji: 3.50 Numer karty: 425125******0264 (3.50 PLN)</t>
  </si>
  <si>
    <t>Tytuł: 000498849 74230785149168259758373  Lokalizacja: Adres: HUMMUS Miasto: WROCLAW Kraj: POLSKA Data wykonania operacji: 2025-05-29 02:00 Oryginalna kwota operacji: 31.00 Numer karty: 425125******0264 (31.00 PLN)</t>
  </si>
  <si>
    <t>Tytuł:  74838495150312056561667  Lokalizacja: Adres: ROSSMANN 47 Miasto: WROCLAW Kraj: POLSKA Data wykonania operacji: 2025-05-29 02:00 Oryginalna kwota operacji: 22.99 Numer karty: 425125******0264 (22.99 PLN)</t>
  </si>
  <si>
    <t>Tytuł: 010061097 74463675149591493450021  Lokalizacja: Adres: KBU SP Z O O  SPP WROCLAW Miasto: KRAKOW Kraj: POLSKA Data wykonania operacji: 2025-05-29 02:00 Oryginalna kwota operacji: 19.00 Numer karty: 425125******0264 (19.00 PLN)</t>
  </si>
  <si>
    <t>Tytuł: 010061097 74463675149611497729855  Lokalizacja: Adres: KBU SPOLKA Z OGRANICZONA Miasto: STARE MIASTO Kraj: POLSKA Data wykonania operacji: 2025-05-29 02:00 Oryginalna kwota operacji: 2.00 Numer karty: 425125******0264 (2.00 PLN)</t>
  </si>
  <si>
    <t>Tytuł: 000498849 74230785148168229752903  Lokalizacja: Adres: ZABKA Z1048 K.2 Miasto: POZNAN Kraj: POLSKA Data wykonania operacji: 2025-05-28 02:00 Oryginalna kwota operacji: 5.50 Numer karty: 425125******0264 (5.50 PLN)</t>
  </si>
  <si>
    <t>Tytuł: 000498849 74230785149168246628283  Lokalizacja: Adres: NETTO 5304 SCO K.3 Miasto: POZNAN Kraj: POLSKA Data wykonania operacji: 2025-05-28 02:00 Oryginalna kwota operacji: 28.58 Numer karty: 425125******0264 (28.58 PLN)</t>
  </si>
  <si>
    <t>Tytuł: 000498849 74230785148168214632060  Lokalizacja: Adres: ZABKA Z5606 K.2 Miasto: POZNAN Kraj: POLSKA Data wykonania operacji: 2025-05-28 02:00 Oryginalna kwota operacji: 2.99 Numer karty: 425125******0264 (2.99 PLN)</t>
  </si>
  <si>
    <t>Tytuł:  74838495148311902336618  Lokalizacja: Adres: ZIKO APTEKA 05 Miasto: Poznan Kraj: POLSKA Data wykonania operacji: 2025-05-28 02:00 Oryginalna kwota operacji: 24.99 Numer karty: 425125******0264 (24.99 PLN)</t>
  </si>
  <si>
    <t>Tytuł: 000498849 74230785148168179870747  Lokalizacja: Adres: NETTO 5304 SCO K.3 Miasto: POZNAN Kraj: POLSKA Data wykonania operacji: 2025-05-27 02:00 Oryginalna kwota operacji: 49.22 Numer karty: 425125******0264 (49.22 PLN)</t>
  </si>
  <si>
    <t>Tytuł: 010061097 74169505146621463413532  Lokalizacja: Adres: PRACOWNIA PSYCHOLOGICZNA Miasto: POZNAN Kraj: POLSKA Data wykonania operacji: 2025-05-26 02:00 Oryginalna kwota operacji: 250.00 Numer karty: 425125******0264 (250.00 PLN)</t>
  </si>
  <si>
    <t>Tytuł: 000498849 74230785144167937006119  Lokalizacja: Adres: TEDI 7184 Miasto: ZABKOWICE SLA Kraj: POLSKA Data wykonania operacji: 2025-05-24 02:00 Oryginalna kwota operacji: 28.00 Numer karty: 425125******0264 (28.00 PLN)</t>
  </si>
  <si>
    <t>Tytuł: 010062941 74987505144003341679075  Lokalizacja: Adres: Action A123 Miasto: Zabkowice Sla Kraj: POLSKA Data wykonania operacji: 2025-05-24 02:00 Oryginalna kwota operacji: 12.37 Numer karty: 425125******0264 (12.37 PLN)</t>
  </si>
  <si>
    <t>Tytuł: 010061097 74463675145591452083023  Lokalizacja: Adres: PROCAR WOJCIECH MEDRALA Miasto: NYSA Kraj: POLSKA Data wykonania operacji: 2025-05-24 02:00 Oryginalna kwota operacji: 2.00 Numer karty: 425125******0264 (2.00 PLN)</t>
  </si>
  <si>
    <t>Tytuł: 010061097 74463675145591452083619  Lokalizacja: Adres: PROCAR WOJCIECH MEDRALA Miasto: NYSA Kraj: POLSKA Data wykonania operacji: 2025-05-24 02:00 Oryginalna kwota operacji: 2.00 Numer karty: 425125******0264 (2.00 PLN)</t>
  </si>
  <si>
    <t>prezenty</t>
  </si>
  <si>
    <t>Tytuł: 010061097 74463675145591452083551  Lokalizacja: Adres: PROCAR WOJCIECH MEDRALA Miasto: NYSA Kraj: POLSKA Data wykonania operacji: 2025-05-24 02:00 Oryginalna kwota operacji: 5.00 Numer karty: 425125******0264 (5.00 PLN)</t>
  </si>
  <si>
    <t>Tytuł: 010061097 74463675145591452083221  Lokalizacja: Adres: PROCAR WOJCIECH MEDRALA Miasto: NYSA Kraj: POLSKA Data wykonania operacji: 2025-05-24 02:00 Oryginalna kwota operacji: 5.00 Numer karty: 425125******0264 (5.00 PLN)</t>
  </si>
  <si>
    <t>Tytuł: 010061097 74463675145591452083213  Lokalizacja: Adres: PROCAR WOJCIECH MEDRALA Miasto: NYSA Kraj: POLSKA Data wykonania operacji: 2025-05-24 02:00 Oryginalna kwota operacji: 5.00 Numer karty: 425125******0264 (5.00 PLN)</t>
  </si>
  <si>
    <t>Tytuł: 010082965 74987075144029141259226  Lokalizacja: Adres: Allegro Miasto: Poznan Kraj: POLSKA Data wykonania operacji: 2025-05-23 02:00 Oryginalna kwota operacji: 255.99 Numer karty: 425125******0264 (255.99 PLN)</t>
  </si>
  <si>
    <t>Nazwa odbiorcy: MOBILE-TRAFFIC-DATA SP. Z O. O. Adres odbiorcy: UL. DRUŻBICKIEGO 11 61-693 POZNAŃ Tytuł: ZAKUP BILETU KOMUNIKACYJNEGO W APLI KACJI IKO  Referencje własne zleceniodawcy: 175677835271 (4.00 PLN)</t>
  </si>
  <si>
    <t>Nazwa odbiorcy: MOBILE-TRAFFIC-DATA SP. Z O. O. Adres odbiorcy: UL. DRUŻBICKIEGO 11 61-693 POZNAŃ Tytuł: ZAKUP BILETU KOMUNIKACYJNEGO W APLI KACJI IKO  Referencje własne zleceniodawcy: 175677547321 (4.00 PLN)</t>
  </si>
  <si>
    <t>Tytuł: 000498849 74230785143167843959584  Lokalizacja: Adres: OKWIAT Miasto: POZNAN Kraj: POLSKA Data wykonania operacji: 2025-05-22 02:00 Oryginalna kwota operacji: 60.00 Numer karty: 425125******0264 (60.00 PLN)</t>
  </si>
  <si>
    <t>Tytuł: 010061097 74169505142641421696501  Lokalizacja: Adres: YUBA Miasto: POZNAN Kraj: POLSKA Data wykonania operacji: 2025-05-22 02:00 Oryginalna kwota operacji: 200.00 Numer karty: 425125******0264 (200.00 PLN)</t>
  </si>
  <si>
    <t>Tytuł: 010062941 74987505142003550931060  Lokalizacja: Adres: Lindt Sklep PL13 Miasto: Poznan Kraj: POLSKA Data wykonania operacji: 2025-05-22 02:00 Oryginalna kwota operacji: 27.01 Numer karty: 425125******0264 (27.01 PLN)</t>
  </si>
  <si>
    <t>Tytuł:  74410495141024812107390  Lokalizacja: Adres: ROCK GARAZ       38255 Miasto: Poznan Kraj: POLSKA Data wykonania operacji: 2025-05-21 02:00 Oryginalna kwota operacji: 15.00 Numer karty: 425125******0264 (15.00 PLN)</t>
  </si>
  <si>
    <t>Tytuł:  74810315141157942250528  Lokalizacja: Adres: Balans Miasto: POZNAN Kraj: POLSKA Data wykonania operacji: 2025-05-21 02:00 Oryginalna kwota operacji: 72.60 Numer karty: 425125******0264 (72.60 PLN)</t>
  </si>
  <si>
    <t>Tytuł:  74838495142310731275027  Lokalizacja: Adres: ROSSMANN 11 Miasto: Poznan Kraj: POLSKA Data wykonania operacji: 2025-05-21 02:00 Oryginalna kwota operacji: 28.06 Numer karty: 425125******0264 (28.06 PLN)</t>
  </si>
  <si>
    <t>Tytuł: 010072805 24871155139092033579672  Lokalizacja: Adres: ALIEXPRESS.COM Miasto: Luxembourg Kraj: LUKSEMBURG Data wykonania operacji: 2025-05-19 02:00 Oryginalna kwota operacji: 59.55 Numer karty: 425125******0264 (59.55 PLN)</t>
  </si>
  <si>
    <t>Tytuł: 010079564 74609055139100017438801  Lokalizacja: Adres: TIMELEFT Miasto: PARIS Kraj: FRANCJA Data wykonania operacji: 2025-05-19 02:00 Oryginalna kwota operacji: 46.99 Numer karty: 425125******0264 (46.99 PLN)</t>
  </si>
  <si>
    <t>Tytuł: 010061097 74169505139591391542885  Lokalizacja: Adres: PRACOWNIA PSYCHOLOGICZNA Miasto: POZNAN Kraj: POLSKA Data wykonania operacji: 2025-05-19 02:00 Oryginalna kwota operacji: 250.00 Numer karty: 425125******0264 (250.00 PLN)</t>
  </si>
  <si>
    <t>Rachunek odbiorcy: 73 1090 2372 0000 0001 1332 9442 Nazwa odbiorcy: MARTA SZCZYGIEŁ Tytuł: DLA AGATKI  OD: 48796555364 DO: 486*****967 (200.00 PLN)</t>
  </si>
  <si>
    <t>Rachunek odbiorcy: 18 1140 2004 0000 3202 7583 1760 Nazwa odbiorcy: WOJCIECH BOGUSZ Tytuł: PRZELEW NA TELEFON  OD: 48796555364 DO: 486*****503 (65.00 PLN)</t>
  </si>
  <si>
    <t>Nazwa odbiorcy: MOBILE-TRAFFIC-DATA SP. Z O. O. Adres odbiorcy: UL. DRUŻBICKIEGO 11 61-693 POZNAŃ Tytuł: ZAKUP BILETU KOMUNIKACYJNEGO W APLI KACJI IKO  Referencje własne zleceniodawcy: 175655000157 (4.00 PLN)</t>
  </si>
  <si>
    <t>Nazwa odbiorcy: MOBILE-TRAFFIC-DATA SP. Z O. O. Adres odbiorcy: UL. DRUŻBICKIEGO 11 61-693 POZNAŃ Tytuł: ZAKUP BILETU KOMUNIKACYJNEGO W APLI KACJI IKO  Referencje własne zleceniodawcy: 175654752064 (4.00 PLN)</t>
  </si>
  <si>
    <t>Tytuł: 010082965 74987075138028946076403  Lokalizacja: Adres: Allegro Miasto: Poznan Kraj: POLSKA Data wykonania operacji: 2025-05-17 02:00 Oryginalna kwota operacji: 119.11 Numer karty: 425125******0264 (119.11 PLN)</t>
  </si>
  <si>
    <t>Tytuł: 010061097 74169505137611371694209  Lokalizacja: Adres: CZARTORYSKI PIEKARNIA Miasto: POZNAN Kraj: POLSKA Data wykonania operacji: 2025-05-17 02:00 Oryginalna kwota operacji: 15.00 Numer karty: 425125******0264 (15.00 PLN)</t>
  </si>
  <si>
    <t>Tytuł: 010066928 74056285136102720704705  Lokalizacja: Adres: APPLE.COM/BILL Miasto: APPLE.COM/BIL Kraj: IRLANDIA Data wykonania operacji: 2025-05-16 02:00 Oryginalna kwota operacji: 14.99 Numer karty: 425125******0264 (14.99 PLN)</t>
  </si>
  <si>
    <t>Tytuł: 000498849 74230785135167327988208  Lokalizacja: Adres: NETTO 5304 SCO K.3 Miasto: POZNAN Kraj: POLSKA Data wykonania operacji: 2025-05-14 02:00 Oryginalna kwota operacji: 76.95 Numer karty: 425125******0264 (76.95 PLN)</t>
  </si>
  <si>
    <t>Tytuł: 000498849 74230785134167297657792  Lokalizacja: Adres: ZABKA Z0685 K.1 Miasto: POZNAN Kraj: POLSKA Data wykonania operacji: 2025-05-14 02:00 Oryginalna kwota operacji: 7.49 Numer karty: 425125******0264 (7.49 PLN)</t>
  </si>
  <si>
    <t>Tytuł: 010082965 74987075135028754182882  Lokalizacja: Adres: Allegro Miasto: Poznan Kraj: POLSKA Data wykonania operacji: 2025-05-12 02:00 Oryginalna kwota operacji: 45.24 Numer karty: 425125******0264 (45.24 PLN)</t>
  </si>
  <si>
    <t>Tytuł: 00000088258941871   Numer telefonu: 48796555364 Lokalizacja: Adres: doladowania.t-mobile.pl 'Operacja: 00000088258941871 Numer referencyjny: 00000088258941871 (25.00 PLN)</t>
  </si>
  <si>
    <t>Tytuł: 010062941 74987505133002787828066  Lokalizacja: Adres: Lindt Sklep PL13 Miasto: Poznan Kraj: POLSKA Data wykonania operacji: 2025-05-13 02:00 Oryginalna kwota operacji: 57.81 Numer karty: 425125******0264 (57.81 PLN)</t>
  </si>
  <si>
    <t>Tytuł: 000498849 74230785133167202257390  Lokalizacja: Adres: BROWAR POZNAN Miasto: POZNAN Kraj: POLSKA Data wykonania operacji: 2025-05-13 02:00 Oryginalna kwota operacji: 379.00 Numer karty: 425125******0264 (379.00 PLN)</t>
  </si>
  <si>
    <t>Tytuł: 000498849 74230785133167213855794  Lokalizacja: Adres: SOUP CULTURE ROSWELL Miasto: POZNAN Kraj: POLSKA Data wykonania operacji: 2025-05-13 02:00 Oryginalna kwota operacji: 22.00 Numer karty: 425125******0264 (22.00 PLN)</t>
  </si>
  <si>
    <t>Tytuł: 010061097 74169505132611329784388  Lokalizacja: Adres: PRACOWNIA PSYCHOLOGICZNA Miasto: POZNAN Kraj: POLSKA Data wykonania operacji: 2025-05-12 02:00 Oryginalna kwota operacji: 250.00 Numer karty: 425125******0264 (250.00 PLN)</t>
  </si>
  <si>
    <t>Tytuł: 000498849 74230785132167156465297  Lokalizacja: Adres: ZABKA Z0685 K.1 Miasto: POZNAN Kraj: POLSKA Data wykonania operacji: 2025-05-12 02:00 Oryginalna kwota operacji: 17.98 Numer karty: 425125******0264 (17.98 PLN)</t>
  </si>
  <si>
    <t>Nazwa odbiorcy: MOBILE-TRAFFIC-DATA SP. Z O. O. Adres odbiorcy: UL. DRUŻBICKIEGO 11 61-693 POZNAŃ Tytuł: ZAKUP BILETU KOMUNIKACYJNEGO W APLI KACJI IKO  Referencje własne zleceniodawcy: 175636058146 (4.00 PLN)</t>
  </si>
  <si>
    <t>Rachunek odbiorcy: 21 1020 4027 3011 0000 3014 3739 Nazwa odbiorcy: INEA SP. Z O.O.WYSOGOTOWO,UL.WIERZB OWA 8462-081 PRZEŹMIEROWO Tytuł: 92550/2025/05/IS/DS   Referencje własne zleceniodawcy: 175635819144 (99.90 PLN)</t>
  </si>
  <si>
    <t>Tytuł: 00000088173044668   Numer telefonu: 48796555364 Lokalizacja: Adres: www.lightworks-studio.pl 'Operacja: 00000088173044668 Numer referencyjny: 00000088173044668 (344.00 PLN)</t>
  </si>
  <si>
    <t>Tytuł: 00000088164126426   Numer telefonu: 48796555364 Lokalizacja: Adres: pyszne.pl 'Operacja: 00000088164126426 Numer referencyjny: 00000088164126426 (186.98 PLN)</t>
  </si>
  <si>
    <t>Tytuł: 00000088153096581   Numer telefonu: 48796555364 Lokalizacja: Adres: www.mobilet.pl 'Operacja: 00000088153096581 Numer referencyjny: 00000088153096581 (10.00 PLN)</t>
  </si>
  <si>
    <t>Tytuł: 00000088150762721   Numer telefonu: 48796555364 Lokalizacja: Adres: www.nexto.pl 'Operacja: 00000088150762721 Numer referencyjny: 00000088150762721 (19.90 PLN)</t>
  </si>
  <si>
    <t>Nazwa odbiorcy: MOBILE-TRAFFIC-DATA SP. Z O. O. Adres odbiorcy: UL. DRUŻBICKIEGO 11 61-693 POZNAŃ Tytuł: ZAKUP BILETU KOMUNIKACYJNEGO W APLI KACJI IKO  Referencje własne zleceniodawcy: 175630636021 (4.00 PLN)</t>
  </si>
  <si>
    <t>Nazwa odbiorcy: MOBILE-TRAFFIC-DATA SP. Z O. O. Adres odbiorcy: UL. DRUŻBICKIEGO 11 61-693 POZNAŃ Tytuł: ZAKUP BILETU KOMUNIKACYJNEGO W APLI KACJI IKO  Referencje własne zleceniodawcy: 175630276949 (4.00 PLN)</t>
  </si>
  <si>
    <t>Tytuł: 000498849 74230785128166892072819  Lokalizacja: Adres: ZABKA Z0685 K.1 Miasto: POZNAN Kraj: POLSKA Data wykonania operacji: 2025-05-08 02:00 Oryginalna kwota operacji: 3.70 Numer karty: 425125******0264 (3.70 PLN)</t>
  </si>
  <si>
    <t>Tytuł: 010082965 74987075129028645841595  Lokalizacja: Adres: Allegro Miasto: Poznan Kraj: POLSKA Data wykonania operacji: 2025-05-08 02:00 Oryginalna kwota operacji: 168.58 Numer karty: 425125******0264 (168.58 PLN)</t>
  </si>
  <si>
    <t>Tytuł: 010085232 74350275128009764365216  Lokalizacja: Adres: Revolut**7108* Miasto: Dublin Kraj: IRLANDIA Data wykonania operacji: 2025-05-08 02:00 Oryginalna kwota operacji: 800.00 Numer karty: 425125******0264 (800.00 PLN)</t>
  </si>
  <si>
    <t>Tytuł: 00000088133698287   Numer telefonu: 48796555364 Lokalizacja: Adres: doladuj.plus.pl 'Operacja: 00000088133698287 Numer referencyjny: 00000088133698287 (10.00 PLN)</t>
  </si>
  <si>
    <t>Tytuł: 000498849 74230785128166857646391  Lokalizacja: Adres: NETTO 5304 SCO K.3 Miasto: POZNAN Kraj: POLSKA Data wykonania operacji: 2025-05-07 02:00 Oryginalna kwota operacji: 142.51 Numer karty: 425125******0264 (142.51 PLN)</t>
  </si>
  <si>
    <t>Tytuł: 010061097 74169505127631279501357  Lokalizacja: Adres: FABRYKA FORMY POZNAN BALT Miasto: POZNAN Kraj: POLSKA Data wykonania operacji: 2025-05-07 02:00 Oryginalna kwota operacji: 4.50 Numer karty: 425125******0264 (4.50 PLN)</t>
  </si>
  <si>
    <t>Tytuł: 010082965 74987075128028594033492  Lokalizacja: Adres: Allegro Miasto: Poznan Kraj: POLSKA Data wykonania operacji: 2025-05-07 02:00 Oryginalna kwota operacji: 129.98 Numer karty: 425125******0264 (129.98 PLN)</t>
  </si>
  <si>
    <t>Tytuł:  74988855126496354091826  Lokalizacja: Adres: JMP S.A. BIEDRONKA 3950 Miasto: POZNAN Kraj: POLSKA Data wykonania operacji: 2025-05-06 02:00 Oryginalna kwota operacji: 27.86 Numer karty: 425125******0264 (27.86 PLN)</t>
  </si>
  <si>
    <t>Tytuł: 000498849 74230785126166722643732  Lokalizacja: Adres: NETTO 5304 SCO K.2 Miasto: POZNAN Kraj: POLSKA Data wykonania operacji: 2025-05-05 02:00 Oryginalna kwota operacji: 148.39 Numer karty: 425125******0264 (148.39 PLN)</t>
  </si>
  <si>
    <t>Tytuł: 010061097 74169505125611254336583  Lokalizacja: Adres: PRACOWNIA PSYCHOLOGICZNA Miasto: POZNAN Kraj: POLSKA Data wykonania operacji: 2025-05-05 02:00 Oryginalna kwota operacji: 250.00 Numer karty: 425125******0264 (250.00 PLN)</t>
  </si>
  <si>
    <t>Tytuł: 000498849 74230785124166630830209  Lokalizacja: Adres: ZABKA Z5606 K.2 Miasto: POZNAN Kraj: POLSKA Data wykonania operacji: 2025-05-04 02:00 Oryginalna kwota operacji: 31.49 Numer karty: 425125******0264 (31.49 PLN)</t>
  </si>
  <si>
    <t>Nazwa odbiorcy: MOBILE-TRAFFIC-DATA SP. Z O. O. Adres odbiorcy: UL. DRUŻBICKIEGO 11 61-693 POZNAŃ Tytuł: ZAKUP BILETU KOMUNIKACYJNEGO W APLI KACJI IKO  Referencje własne zleceniodawcy: 175602922590 (4.00 PLN)</t>
  </si>
  <si>
    <t>Nazwa odbiorcy: MOBILE-TRAFFIC-DATA SP. Z O. O. Adres odbiorcy: UL. DRUŻBICKIEGO 11 61-693 POZNAŃ Tytuł: ZAKUP BILETU KOMUNIKACYJNEGO W APLI KACJI IKO  Referencje własne zleceniodawcy: 175602600545 (4.00 PLN)</t>
  </si>
  <si>
    <t>Tytuł: 000498849 74230785123166579895065  Lokalizacja: Adres: IMPOSYT Miasto: ZABKOWICE SLA Kraj: POLSKA Data wykonania operacji: 2025-05-03 02:00 Oryginalna kwota operacji: 16.00 Numer karty: 425125******0264 (16.00 PLN)</t>
  </si>
  <si>
    <t>Tytuł:  74838495124308055405404  Lokalizacja: Adres: ORLEN STACJA NR 539 Miasto: ZABKOWICE SLA Kraj: POLSKA Data wykonania operacji: 2025-05-03 02:00 Oryginalna kwota operacji: 57.02 Numer karty: 425125******0264 (57.02 PLN)</t>
  </si>
  <si>
    <t>Tytuł: 010062941 74987505122002606394053  Lokalizacja: Adres: WConcept-ESW-IRL Miasto: Swords Kraj: IRLANDIA Data wykonania operacji: 2025-05-02 02:00 Oryginalna kwota operacji: 425.77 Numer karty: 425125******0264 (425.77 PLN)</t>
  </si>
  <si>
    <t>Tytuł: 010059127 74062945122126411487103  Lokalizacja: Adres: Polski Koncern Naftowy OR Miasto: Plock Kraj: POLSKA Data wykonania operacji: 2025-05-02 02:00 Oryginalna kwota operacji: 63.28 Numer karty: 425125******0264 (63.28 PLN)</t>
  </si>
  <si>
    <t>Tytuł: 000498849 74230785123166568116366  Lokalizacja: Adres: SYNEVO PUNKT POBRAN Miasto: ZABKOWICE SLA Kraj: POLSKA Data wykonania operacji: 2025-05-02 02:00 Oryginalna kwota operacji: 287.00 Numer karty: 425125******0264 (287.00 PLN)</t>
  </si>
  <si>
    <t>Tytuł: 010072805 24871155121088867672302  Lokalizacja: Adres: ALIEXPRESS.COM Miasto: Luxembourg Kraj: LUKSEMBURG Data wykonania operacji: 2025-05-01 02:00 Oryginalna kwota operacji: 46.09 Numer karty: 425125******0264 (46.09 PLN)</t>
  </si>
  <si>
    <t>Tytuł:  74838495120307683803398  Lokalizacja: Adres: ZIKO APTEKA 05 Miasto: Poznan Kraj: POLSKA Data wykonania operacji: 2025-04-30 02:00 Oryginalna kwota operacji: 150.48 Numer karty: 425125******0264 (150.48 PLN)</t>
  </si>
  <si>
    <t>Tytuł: 000498849 74230785120166408698048  Lokalizacja: Adres: ZABKA Z0685 K.1 Miasto: POZNAN Kraj: POLSKA Data wykonania operacji: 2025-04-30 02:00 Oryginalna kwota operacji: 4.50 Numer karty: 425125******0264 (4.50 PLN)</t>
  </si>
  <si>
    <t>Tytuł:  74838495121307743685834  Lokalizacja: Adres: ORLEN STACJA NR 600 Miasto: POZNAN Kraj: POLSKA Data wykonania operacji: 2025-04-30 02:00 Oryginalna kwota operacji: 3.47 Numer karty: 425125******0264 (3.47 PLN)</t>
  </si>
  <si>
    <t>Tytuł: 010075642 74987505120003642769037  Lokalizacja: Adres: aliexpress Miasto: Luxembourg Kraj: LUKSEMBURG Data wykonania operacji: 2025-04-30 02:00 Oryginalna kwota operacji: 429.28 Numer karty: 425125******0264 (429.28 PLN)</t>
  </si>
  <si>
    <t>Tytuł:  74838495120307536229635  Lokalizacja: Adres: PL KFC MOP MORZECINO S5 Miasto: MORZECINO Kraj: POLSKA Data wykonania operacji: 2025-04-29 02:00 Oryginalna kwota operacji: 25.98 Numer karty: 425125******0264 (25.98 PLN)</t>
  </si>
  <si>
    <t>Tytuł: 010061097 74463675120581203067887  Lokalizacja: Adres: MYJNIA ADEX Miasto: RYBNIK Kraj: POLSKA Data wykonania operacji: 2025-04-29 02:00 Oryginalna kwota operacji: 2.00 Numer karty: 425125******0264 (2.00 PLN)</t>
  </si>
  <si>
    <t>Tytuł: 010061097 74463675120581203067937  Lokalizacja: Adres: MYJNIA ADEX Miasto: RYBNIK Kraj: POLSKA Data wykonania operacji: 2025-04-29 02:00 Oryginalna kwota operacji: 2.00 Numer karty: 425125******0264 (2.00 PLN)</t>
  </si>
  <si>
    <t>Tytuł: 010061097 74463675120581203067796  Lokalizacja: Adres: MYJNIA ADEX Miasto: RYBNIK Kraj: POLSKA Data wykonania operacji: 2025-04-29 02:00 Oryginalna kwota operacji: 5.00 Numer karty: 425125******0264 (5.00 PLN)</t>
  </si>
  <si>
    <t>Tytuł: 010061097 74463675120581203067838  Lokalizacja: Adres: MYJNIA ADEX Miasto: RYBNIK Kraj: POLSKA Data wykonania operacji: 2025-04-29 02:00 Oryginalna kwota operacji: 5.00 Numer karty: 425125******0264 (5.00 PLN)</t>
  </si>
  <si>
    <t>Rachunek odbiorcy: 21 1940 1076 6256 6800 0000 0000 Nazwa odbiorcy: ADAM TYŻYK Tytuł: 12 MP/05/2025   Referencje własne zleceniodawcy: 175594086613 (363.00 PLN)</t>
  </si>
  <si>
    <t>Tytuł:  74988855119496418080764  Lokalizacja: Adres: JMP S.A. BIEDRONKA 3352 Miasto: KUZNIA RACIBO Kraj: POLSKA Data wykonania operacji: 2025-04-29 02:00 Oryginalna kwota operacji: 65.15 Numer karty: 425125******0264 (65.15 PLN)</t>
  </si>
  <si>
    <t>Tytuł: 010046551 74796055119057003008369  Lokalizacja: Adres: KELLER SP Z O.O.- SALON H Miasto: GLIWICE Kraj: POLSKA Data wykonania operacji: 2025-04-29 02:00 Oryginalna kwota operacji: 278.99 Numer karty: 425125******0264 (278.99 PLN)</t>
  </si>
  <si>
    <t>Tytuł: 010085232 74350275119009647165909  Lokalizacja: Adres: Revolut**7108* Miasto: Dublin Kraj: IRLANDIA Data wykonania operacji: 2025-04-29 02:00 Oryginalna kwota operacji: 500.00 Numer karty: 425125******0264 (500.00 PLN)</t>
  </si>
  <si>
    <t>SHELL 11  Wroclaw  POL   Płatność kartą 31.05.2025 Nr karty 4598xx4778</t>
  </si>
  <si>
    <t>SHELL 11  Wroclaw  POL   Płatność kartą 29.05.2025 Nr karty 4598xx4778</t>
  </si>
  <si>
    <t>ORLEN STACJA NR 539  ZABKOWICE SLA   Płatność kartą 25.05.2025 Nr karty 4598xx4778</t>
  </si>
  <si>
    <t>ORLEN STACJA NR 600  POZNAN  POL   Płatność kartą 23.05.2025 Nr karty 4598xx4778</t>
  </si>
  <si>
    <t>Urząd Skarbowy Centrum Rozliczeniowe   /TI/N6392015837/OKR/25M04/SFP/PPE</t>
  </si>
  <si>
    <t>Urząd Skarbowy Centrum Rozliczeniowe   /TI/N6392015837/OKR/25M04/SFP/VAT7</t>
  </si>
  <si>
    <t>Urząd Skarbowy Centrum Rozliczeniowe   /TI/N6392015837/OKR/25M04/SFP/PIT4R</t>
  </si>
  <si>
    <t>Zakład Ubezpieczeń Społecznych 47-400 Racibórz   Ubezpieczenie zdrowotne 04.2025</t>
  </si>
  <si>
    <t>Orange Polska S.A. Aleje Jerozolimskie 160 02-326 Warszawa NIP 526-025-09-95   F0083222849/005/25</t>
  </si>
  <si>
    <t>P4 Sp. z o.o. ul. Wynalazek 1 02-677 Warszawa   F/10029779/05/25</t>
  </si>
  <si>
    <t>BNP Paribas Leasing Services Sp. z o.o. 00-844 Warszawa, ul.Grzybowska 78   28919/05/2025/RL/LS</t>
  </si>
  <si>
    <t>ORLEN STACJA NR 539  ZABKOWICE SLA   Płatność kartą 03.05.2025 Nr karty 4598xx4778</t>
  </si>
  <si>
    <t>KANCELARIA PODATKOWO-GOSPODARCZA SP ÓŁKA Z OGRANICZONĄ ODPOWIEDZIALNOŚC IĄ ul. Radomska 7 44-164 Gliwice NI P: PL 631-264-51-93   FA/64/04/2025</t>
  </si>
  <si>
    <t>Tytuł: 000498849 74230785118166262470975  Lokalizacja: Adres: ZABKA Z0685 K.1 Miasto: POZNAN Kraj: POLSKA Data wykonania operacji: 2025-04-28 02:00 Oryginalna kwota operacji: 4.50 Numer karty: 425125******0264 (4.50 PLN)</t>
  </si>
  <si>
    <t>14 013,39</t>
  </si>
  <si>
    <t>Tytuł: 010061097 74169505118611188209301  Lokalizacja: Adres: PRACOWNIA PSYCHOLOGICZNA Miasto: POZNAN Kraj: POLSKA Data wykonania operacji: 2025-04-28 02:00 Oryginalna kwota operacji: 200.00 Numer karty: 425125******0264 (200.00 PLN)</t>
  </si>
  <si>
    <t>Tytuł: 000498707 74987075119028304558029  Lokalizacja: Adres: coffeedesk.pl Miasto: Kolobrzeg Kraj: POLSKA Data wykonania operacji: 2025-04-28 02:00 Oryginalna kwota operacji: 174.00 Numer karty: 425125******0264 (174.00 PLN)</t>
  </si>
  <si>
    <t>Rachunek odbiorcy: 63 1020 1068 1230 7223 1295 0585 Nazwa odbiorcy: PKO BIURO MAKLERSKIE Tytuł: ZAKUP OBLIGACJI (2000.00 PLN)</t>
  </si>
  <si>
    <t>Rachunek odbiorcy: 63 1020 1068 1230 7223 1295 0585 Nazwa odbiorcy: PKO BIURO MAKLERSKIE Tytuł: ZAKUP OBLIGACJI (3000.00 PLN)</t>
  </si>
  <si>
    <t>Tytuł: 000498849 74230785116166149468475  Lokalizacja: Adres: ZABKA Z0685 K.1 Miasto: POZNAN Kraj: POLSKA Data wykonania operacji: 2025-04-26 02:00 Oryginalna kwota operacji: 13.69 Numer karty: 425125******0264 (13.69 PLN)</t>
  </si>
  <si>
    <t>Tytuł:  74810315116155465692416  Lokalizacja: Adres: POLEWSKI CONCEPT Miasto: Poznan Kraj: POLSKA Data wykonania operacji: 2025-04-26 02:00 Oryginalna kwota operacji: 21.50 Numer karty: 425125******0264 (21.50 PLN)</t>
  </si>
  <si>
    <t>Tytuł: 000498849 74230785116166149470190  Lokalizacja: Adres: ZABKA Z0685 K.1 Miasto: POZNAN Kraj: POLSKA Data wykonania operacji: 2025-04-26 02:00 Oryginalna kwota operacji: 19.98 Numer karty: 425125******0264 (19.98 PLN)</t>
  </si>
  <si>
    <t>Tytuł:  74410495116024514321829  Lokalizacja: Adres: CYNAMONKI        65461 Miasto: Poznan Kraj: POLSKA Data wykonania operacji: 2025-04-26 02:00 Oryginalna kwota operacji: 16.00 Numer karty: 425125******0264 (16.00 PLN)</t>
  </si>
  <si>
    <t>Tytuł:  74838495117307044259970  Lokalizacja: Adres: LIDL 1884 Miasto: POZNAN Kraj: POLSKA Data wykonania operacji: 2025-04-26 02:00 Oryginalna kwota operacji: 321.18 Numer karty: 425125******0264 (321.18 PLN)</t>
  </si>
  <si>
    <t>Nazwa odbiorcy: MOBILE-TRAFFIC-DATA SP. Z O. O. Adres odbiorcy: UL. DRUŻBICKIEGO 11 61-693 POZNAŃ Tytuł: ZAKUP BILETU KOMUNIKACYJNEGO W APLI KACJI IKO  Referencje własne zleceniodawcy: 175581154366 (4.00 PLN)</t>
  </si>
  <si>
    <t>Nazwa odbiorcy: MOBILE-TRAFFIC-DATA SP. Z O. O. Adres odbiorcy: UL. DRUŻBICKIEGO 11 61-693 POZNAŃ Tytuł: ZAKUP BILETU KOMUNIKACYJNEGO W APLI KACJI IKO  Referencje własne zleceniodawcy: 175580901066 (4.00 PLN)</t>
  </si>
  <si>
    <t>Tytuł:  74838495116306838039052  Lokalizacja: Adres: DOBRE OKO OKULISTA MARI Miasto: POZNAN Kraj: POLSKA Data wykonania operacji: 2025-04-25 02:00 Oryginalna kwota operacji: 678.00 Numer karty: 425125******0264 (678.00 PLN)</t>
  </si>
  <si>
    <t>Rachunek odbiorcy: 73 1090 2372 0000 0001 1332 9442 Nazwa odbiorcy: MARTA SZCZYGIEŁ Tytuł: PRZELEW NA TELEFON  OD: 48796555364 DO: 486*****967 (159.00 PLN)</t>
  </si>
  <si>
    <t>Tytuł: 000498849 74230785115166037282831  Lokalizacja: Adres: NETTO 5304 SCO K.3 Miasto: POZNAN Kraj: POLSKA Data wykonania operacji: 2025-04-24 02:00 Oryginalna kwota operacji: 36.74 Numer karty: 425125******0264 (36.74 PLN)</t>
  </si>
  <si>
    <t>Tytuł: 000498849 74230785113165933886523  Lokalizacja: Adres: ZABKA Z0685 K.1 Miasto: POZNAN Kraj: POLSKA Data wykonania operacji: 2025-04-23 02:00 Oryginalna kwota operacji: 4.50 Numer karty: 425125******0264 (4.50 PLN)</t>
  </si>
  <si>
    <t>Tytuł: 000498849 74230785113165933886689  Lokalizacja: Adres: ZABKA Z0685 K.1 Miasto: POZNAN Kraj: POLSKA Data wykonania operacji: 2025-04-23 02:00 Oryginalna kwota operacji: 7.49 Numer karty: 425125******0264 (7.49 PLN)</t>
  </si>
  <si>
    <t>Tytuł: 00000087839695246   Numer telefonu: 48796555364 Lokalizacja: Adres: pyszne.pl 'Operacja: 00000087839695246 Numer referencyjny: 00000087839695246 (52.60 PLN)</t>
  </si>
  <si>
    <t>Tytuł: 000498849 74230785113165892792001  Lokalizacja: Adres: ZABKA Z1521 K.2 Miasto: POZNAN Kraj: POLSKA Data wykonania operacji: 2025-04-22 02:00 Oryginalna kwota operacji: 4.50 Numer karty: 425125******0264 (4.50 PLN)</t>
  </si>
  <si>
    <t>Tytuł: 000498849 74230785113165904068101  Lokalizacja: Adres: NETTO 5304 SCO K.3 Miasto: POZNAN Kraj: POLSKA Data wykonania operacji: 2025-04-22 02:00 Oryginalna kwota operacji: 77.96 Numer karty: 425125******0264 (77.96 PLN)</t>
  </si>
  <si>
    <t>Tytuł: 010085232 74350275112009550191816  Lokalizacja: Adres: Revolut**7108* Miasto: Dublin Kraj: IRLANDIA Data wykonania operacji: 2025-04-22 02:00 Oryginalna kwota operacji: 500.00 Numer karty: 425125******0264 (500.00 PLN)</t>
  </si>
  <si>
    <t>Tytuł: 000498849 74230785112165860800365  Lokalizacja: Adres: EURO PRALNIE Miasto: POZNAN Kraj: POLSKA Data wykonania operacji: 2025-04-22 02:00 Oryginalna kwota operacji: 170.00 Numer karty: 425125******0264 (170.00 PLN)</t>
  </si>
  <si>
    <t>Tytuł: 010075642 74987505111003659636096  Lokalizacja: Adres: aliexpress Miasto: Luxembourg Kraj: LUKSEMBURG Data wykonania operacji: 2025-04-21 02:00 Oryginalna kwota operacji: 69.39 Numer karty: 425125******0264 (69.39 PLN)</t>
  </si>
  <si>
    <t>Tytuł:  74838495112306247977516  Lokalizacja: Adres: ORLEN STACJA NR 539 Miasto: ZABKOWICE SLA Kraj: POLSKA Data wykonania operacji: 2025-04-21 02:00 Oryginalna kwota operacji: 4.37 Numer karty: 425125******0264 (4.37 PLN)</t>
  </si>
  <si>
    <t>Tytuł:  74810315109154927154635  Lokalizacja: Adres: MYJNIA HENRYK DLUGOSZ Miasto: Kuznia Racibo Kraj: POLSKA Data wykonania operacji: 2025-04-19 02:00 Oryginalna kwota operacji: 4.00 Numer karty: 425125******0264 (4.00 PLN)</t>
  </si>
  <si>
    <t>Tytuł:  74810315109154928642349  Lokalizacja: Adres: MYJNIA HENRYK DLUGOSZ Miasto: Kuznia Racibo Kraj: POLSKA Data wykonania operacji: 2025-04-19 02:00 Oryginalna kwota operacji: 4.00 Numer karty: 425125******0264 (4.00 PLN)</t>
  </si>
  <si>
    <t>Tytuł:  74988855109496240040392  Lokalizacja: Adres: JMP S.A. BIEDRONKA 3352 Miasto: KUZNIA RACIBO Kraj: POLSKA Data wykonania operacji: 2025-04-19 02:00 Oryginalna kwota operacji: 240.58 Numer karty: 425125******0264 (240.58 PLN)</t>
  </si>
  <si>
    <t>Tytuł:  74810315109154929184259  Lokalizacja: Adres: MYJNIA HENRYK DLUGOSZ Miasto: Kuznia Racibo Kraj: POLSKA Data wykonania operacji: 2025-04-19 02:00 Oryginalna kwota operacji: 4.00 Numer karty: 425125******0264 (4.00 PLN)</t>
  </si>
  <si>
    <t>Tytuł:  74810315109154927801946  Lokalizacja: Adres: MYJNIA HENRYK DLUGOSZ Miasto: Kuznia Racibo Kraj: POLSKA Data wykonania operacji: 2025-04-19 02:00 Oryginalna kwota operacji: 6.00 Numer karty: 425125******0264 (6.00 PLN)</t>
  </si>
  <si>
    <t>Tytuł: 010061097 74169505108651082891251  Lokalizacja: Adres: MANGO MAMA NADODRZE Miasto: WROCLAW Kraj: POLSKA Data wykonania operacji: 2025-04-18 02:00 Oryginalna kwota operacji: 97.00 Numer karty: 425125******0264 (97.00 PLN)</t>
  </si>
  <si>
    <t>Tytuł: 000498849 74230785107165601111723  Lokalizacja: Adres: ZABKA Z0685 K.1 Miasto: POZNAN Kraj: POLSKA Data wykonania operacji: 2025-04-17 02:00 Oryginalna kwota operacji: 9.00 Numer karty: 425125******0264 (9.00 PLN)</t>
  </si>
  <si>
    <t>Tytuł: 000498849 74230785107165601099779  Lokalizacja: Adres: ZABKA Z0685 K.1 Miasto: POZNAN Kraj: POLSKA Data wykonania operacji: 2025-04-17 02:00 Oryginalna kwota operacji: 5.00 Numer karty: 425125******0264 (5.00 PLN)</t>
  </si>
  <si>
    <t>Tytuł: 000498849 74230785107165614828529  Lokalizacja: Adres: ZABKA Z1048 K.2 Miasto: POZNAN Kraj: POLSKA Data wykonania operacji: 2025-04-17 02:00 Oryginalna kwota operacji: 6.20 Numer karty: 425125******0264 (6.20 PLN)</t>
  </si>
  <si>
    <t>Tytuł: 010071549 74985435107800178100589  Lokalizacja: Adres: PP*INPOST.PL Miasto: KRAKOW Kraj: POLSKA Data wykonania operacji: 2025-04-17 02:00 Oryginalna kwota operacji: 16.99 Numer karty: 425125******0264 (16.99 PLN)</t>
  </si>
  <si>
    <t>Tytuł: 010071549 74985435107800178098411  Lokalizacja: Adres: PP*INPOST.PL Miasto: KRAKOW Kraj: POLSKA Data wykonania operacji: 2025-04-17 02:00 Oryginalna kwota operacji: 18.99 Numer karty: 425125******0264 (18.99 PLN)</t>
  </si>
  <si>
    <t>Tytuł: 00000087717507867   Numer telefonu: 48796555364 Lokalizacja: Adres: doladuj.plus.pl 'Operacja: 00000087717507867 Numer referencyjny: 00000087717507867 (30.00 PLN)</t>
  </si>
  <si>
    <t>Tytuł:  74838495106305543647573  Lokalizacja: Adres: Paczek w masle Miasto: Poznan Kraj: POLSKA Data wykonania operacji: 2025-04-16 02:00 Oryginalna kwota operacji: 12.00 Numer karty: 425125******0264 (12.00 PLN)</t>
  </si>
  <si>
    <t>Tytuł: 010066928 74056285106108518929251  Lokalizacja: Adres: APPLE.COM/BILL Miasto: APPLE.COM/BIL Kraj: IRLANDIA Data wykonania operacji: 2025-04-16 02:00 Oryginalna kwota operacji: 14.99 Numer karty: 425125******0264 (14.99 PLN)</t>
  </si>
  <si>
    <t>Tytuł: 000498849 74230785107165553336575  Lokalizacja: Adres: NETTO 5304 SCO K.2 Miasto: POZNAN Kraj: POLSKA Data wykonania operacji: 2025-04-16 02:00 Oryginalna kwota operacji: 52.94 Numer karty: 425125******0264 (52.94 PLN)</t>
  </si>
  <si>
    <t>Tytuł: 000498849 74230785106165471158094  Lokalizacja: Adres: NETTO 5304 SCO K.3 Miasto: POZNAN Kraj: POLSKA Data wykonania operacji: 2025-04-15 02:00 Oryginalna kwota operacji: 50.56 Numer karty: 425125******0264 (50.56 PLN)</t>
  </si>
  <si>
    <t>Tytuł: 010079750 74346355105107163861662  Lokalizacja: Adres: Amazon.pl*RH2XI9H24 Miasto: AMAZON.PL Kraj: LUKSEMBURG Data wykonania operacji: 2025-04-15 02:00 Oryginalna kwota operacji: 75.00 Numer karty: 425125******0264 (75.00 PLN)</t>
  </si>
  <si>
    <t>Tytuł:  74838495105305345506366  Lokalizacja: Adres: Optyka Okularowa- Kryst Miasto: Poznan Kraj: POLSKA Data wykonania operacji: 2025-04-15 02:00 Oryginalna kwota operacji: 700.00 Numer karty: 425125******0264 (700.00 PLN)</t>
  </si>
  <si>
    <t>Tytuł: PKO BP 10204027S1PO2028N6625C9387  Lokalizacja: Adres: UL. ROOSEVELTA 11 Miasto: POZNAN Kraj: POLSKA Data wykonania operacji: 2025-04-16 02:00 Oryginalna kwota operacji: 200.00 Numer karty: 425125******0264 (200.00 PLN)</t>
  </si>
  <si>
    <t>Rachunek odbiorcy: 25 1050 1520 1000 0090 8295 7284 Nazwa odbiorcy: KAROLINA JANUSZEWSKA NOWA FORMA Tytuł: PAKIET 4 TRENINGÓW OLAF KRAWCZYK   Referencje własne zleceniodawcy: 175545191709 (600.00 PLN)</t>
  </si>
  <si>
    <t>Tytuł: 000498849 74230785105165399542883  Lokalizacja: Adres: NETTO 5304 K.1 Miasto: POZNAN Kraj: POLSKA Data wykonania operacji: 2025-04-14 02:00 Oryginalna kwota operacji: 9.64 Numer karty: 425125******0264 (9.64 PLN)</t>
  </si>
  <si>
    <t>Tytuł: 010061097 74463675104561041756073  Lokalizacja: Adres: BANIECZKA SPOLKA AKCYJNA Miasto: POZNAN Kraj: POLSKA Data wykonania operacji: 2025-04-13 02:00 Oryginalna kwota operacji: 5.00 Numer karty: 425125******0264 (5.00 PLN)</t>
  </si>
  <si>
    <t>Tytuł: 010061097 74463675104561041755786  Lokalizacja: Adres: BANIECZKA SPOLKA AKCYJNA Miasto: POZNAN Kraj: POLSKA Data wykonania operacji: 2025-04-13 02:00 Oryginalna kwota operacji: 2.00 Numer karty: 425125******0264 (2.00 PLN)</t>
  </si>
  <si>
    <t>Tytuł: 010061097 74463675104561041755943  Lokalizacja: Adres: BANIECZKA SPOLKA AKCYJNA Miasto: POZNAN Kraj: POLSKA Data wykonania operacji: 2025-04-13 02:00 Oryginalna kwota operacji: 5.00 Numer karty: 425125******0264 (5.00 PLN)</t>
  </si>
  <si>
    <t>Tytuł: 010061097 74463675104561041756040  Lokalizacja: Adres: BANIECZKA SPOLKA AKCYJNA Miasto: POZNAN Kraj: POLSKA Data wykonania operacji: 2025-04-13 02:00 Oryginalna kwota operacji: 2.00 Numer karty: 425125******0264 (2.00 PLN)</t>
  </si>
  <si>
    <t>Tytuł:  74838495104305109990377  Lokalizacja: Adres: SKLEP LIDL 1221 WROCLAW Miasto: WROCLAW Kraj: POLSKA Data wykonania operacji: 2025-04-13 02:00 Oryginalna kwota operacji: 18.97 Numer karty: 425125******0264 (18.97 PLN)</t>
  </si>
  <si>
    <t>Tytuł: 000498849 74230785103165300258548  Lokalizacja: Adres: ZABKA Z3596 K.1 Miasto: WROCLAW Kraj: POLSKA Data wykonania operacji: 2025-04-13 02:00 Oryginalna kwota operacji: 20.00 Numer karty: 425125******0264 (20.00 PLN)</t>
  </si>
  <si>
    <t>Tytuł: 000498849 74230785103165301947412  Lokalizacja: Adres: ZABKA Z0685 K.1 Miasto: POZNAN Kraj: POLSKA Data wykonania operacji: 2025-04-13 02:00 Oryginalna kwota operacji: 16.99 Numer karty: 425125******0264 (16.99 PLN)</t>
  </si>
  <si>
    <t>Tytuł: 000498849 74230785104165329386121  Lokalizacja: Adres: NETTO 5304 SCO K.3 Miasto: POZNAN Kraj: POLSKA Data wykonania operacji: 2025-04-13 02:00 Oryginalna kwota operacji: 183.74 Numer karty: 425125******0264 (183.74 PLN)</t>
  </si>
  <si>
    <t>Tytuł: 010059127 74043215103124466707363  Lokalizacja: Adres: NFM APM Miasto: Wroclaw Kraj: POLSKA Data wykonania operacji: 2025-04-13 02:00 Oryginalna kwota operacji: 24.00 Numer karty: 425125******0264 (24.00 PLN)</t>
  </si>
  <si>
    <t>Rachunek odbiorcy: 91 1020 0029 9000 2023 2777 2284 Nazwa odbiorcy: OLAF KRAWCZYK Tytuł: SPŁATA AKTUALNEGO ZADŁUŻENIA KARTY KREDYTOWEJ * 8853 OD: 48796555364 Referencje własne zleceniodawcy: 175540820950 (206.36 PLN)</t>
  </si>
  <si>
    <t>Tytuł: 00000087590091047   Numer telefonu: 48796555364 Lokalizacja: Adres: intercity.pl 'Operacja: 00000087590091047 Numer referencyjny: 00000087590091047 (190.20 PLN)</t>
  </si>
  <si>
    <t>Tytuł: 010085232 74350275101009414306462  Lokalizacja: Adres: Revolut**7108* Miasto: Dublin Kraj: IRLANDIA Data wykonania operacji: 2025-04-11 02:00 Oryginalna kwota operacji: 500.00 Numer karty: 425125******0264 (500.00 PLN)</t>
  </si>
  <si>
    <t>Tytuł: 010085232 74350275098009375430868  Lokalizacja: Adres: Revolut**7108* Miasto: Dublin Kraj: IRLANDIA Data wykonania operacji: 2025-04-08 02:00 Oryginalna kwota operacji: 500.00 Numer karty: 425125******0264 (500.00 PLN)</t>
  </si>
  <si>
    <t>Rachunek odbiorcy: 21 1020 4027 3011 0000 3014 3739 Nazwa odbiorcy: INEA SP. Z O.O.WYSOGOTOWO,UL.WIERZB OWA 8462-081 PRZEŹMIEROWO Tytuł: 93998/2025/04/IS/DS   Referencje własne zleceniodawcy: 175521867324 (99.90 PLN)</t>
  </si>
  <si>
    <t>Tytuł: 010085232 74350275097009359713090  Lokalizacja: Adres: Revolut**7108* Miasto: Dublin Kraj: IRLANDIA Data wykonania operacji: 2025-04-07 02:00 Oryginalna kwota operacji: 1000.00 Numer karty: 425125******0264 (1000.00 PLN)</t>
  </si>
  <si>
    <t>Tytuł: 010085232 74350275093009320227364  Lokalizacja: Adres: Revolut**7108* Miasto: Dublin Kraj: IRLANDIA Data wykonania operacji: 2025-04-03 02:00 Oryginalna kwota operacji: 1000.00 Numer karty: 425125******0264 (1000.00 PLN)</t>
  </si>
  <si>
    <t>Tytuł: 010079724 24396965093000243709957  Lokalizacja: Adres: Cyfrowe Sp z oo Miasto: gdansk Kraj: POLSKA Data wykonania operacji: 2025-04-03 02:00 Oryginalna kwota operacji: 193.50 Numer karty: 425125******0264 (193.50 PLN)</t>
  </si>
  <si>
    <t>Tytuł: 010085232 74350275092009297982075  Lokalizacja: Adres: Revolut**7108* Miasto: Dublin Kraj: IRLANDIA Data wykonania operacji: 2025-04-02 02:00 Oryginalna kwota operacji: 1000.00 Numer karty: 425125******0264 (1000.00 PLN)</t>
  </si>
  <si>
    <t>Tytuł: 010085232 74350275090009270438501  Lokalizacja: Adres: Revolut**7108* Miasto: Dublin Kraj: IRLANDIA Data wykonania operacji: 2025-03-31 02:00 Oryginalna kwota operacji: 500.00 Numer karty: 425125******0264 (500.00 PLN)</t>
  </si>
  <si>
    <t>Tytuł: 010066928 74056285090103833225699  Lokalizacja: Adres: APPLE.COM/BILL Miasto: APPLE.COM/BIL Kraj: IRLANDIA Data wykonania operacji: 2025-03-31 02:00 Oryginalna kwota operacji: 34.99 Numer karty: 425125******0264 (34.99 PLN)</t>
  </si>
  <si>
    <t>Tytuł:  74980005090558801272713  Lokalizacja: Adres: MOBILE SUICA APPLE V Miasto: TOKYO Kraj: JAPONIA Data wykonania operacji: 2025-03-29 01:00 Oryginalna kwota operacji: 1000.00 Data przetworzenia: 2025-04-01 Numer karty: 425125******0264 (27.02 PLN)</t>
  </si>
  <si>
    <t>Rachunek odbiorcy: 21 1940 1076 6256 6800 0000 0000 Nazwa odbiorcy: ADAM TYŻYK Tytuł: 12 MP/04/2025   Referencje własne zleceniodawcy: 175489011516 (363.00 PLN)</t>
  </si>
  <si>
    <t>Rachunek odbiorcy: 91 1020 0029 9000 2023 2777 2284 Nazwa odbiorcy: OLAF KRAWCZYK Tytuł: SPŁATA AKTUALNEGO ZADŁUŻENIA KARTY KREDYTOWEJ * 8853 OD: 48796555364 Referencje własne zleceniodawcy: 175489009266 (117.17 PLN)</t>
  </si>
  <si>
    <t>202512297305441872' - ORLEN STACJA NR 600  POZNAN  POL (188.50 PLN)</t>
  </si>
  <si>
    <t>202512197306171340' - ORLEN STACJA NR 199  KUZNIA RACIBO (24.58 PLN)</t>
  </si>
  <si>
    <t>202512197304766921' - ORLEN STACJA NR 199  KUZNIA RACIBO (276.33 PLN)</t>
  </si>
  <si>
    <t>202511397301526735' - ORLEN STACJA NR 539  ZABKOWICE SLA (79.61 PLN)</t>
  </si>
  <si>
    <t>202511197304741697' - ORLEN STACJA NR 199  KUZNIA RACIBO (104.58 PLN)</t>
  </si>
  <si>
    <t>202510897203166490' - Urzďż˝d Skarbowy Centrum Rozliczeniowe (2319.00 PLN)</t>
  </si>
  <si>
    <t>202510897203165685' - Urzďż˝d Skarbowy Centrum Rozliczeniowe (1830.00 PLN)</t>
  </si>
  <si>
    <t>202511097305517371' - ORLEN STACJA NR 539  ZABKOWICE SLA (190.66 PLN)</t>
  </si>
  <si>
    <t>202510597201369198' - Urzďż˝d Skarbowy Centrum Rozliczeniowe (12.00 PLN)</t>
  </si>
  <si>
    <t>202510597201367841' - Zakďż˝ad Ubezpieczeďż˝ Spoďż˝ecznych 47-400 Racibďż˝rz (3213.25 PLN)</t>
  </si>
  <si>
    <t>202510597302596604' - SHELL 11  Wroclaw  POL (242.14 PLN)</t>
  </si>
  <si>
    <t>202510097201177081' - Orange Polska S.A. Aleje Jerozolimskie 160 02-326 Warszawa NIP 526-025-09-95 (82.29 PLN)</t>
  </si>
  <si>
    <t>202510097201177012' - P4 Sp. z o.o. ul. Wynalazek 1 02-677 Warszawa (258.92 PLN)</t>
  </si>
  <si>
    <t>202509397201154773' - BNP Paribas Leasing Services Sp. z o.o. 00-844 Warszawa, ul.Grzybowska 78 (2335.70 PLN)</t>
  </si>
  <si>
    <t>Tytuł: 010085232 74350275087009231896362  Lokalizacja: Adres: Revolut**7108* Miasto: Dublin Kraj: IRLANDIA Data wykonania operacji: 2025-03-28 01:00 Oryginalna kwota operacji: 1000.00 Numer karty: 425125******0264 (1000.00 PLN)</t>
  </si>
  <si>
    <t>Tytuł: 010085232 74350275085009202023618  Lokalizacja: Adres: Revolut**7108* Miasto: Dublin Kraj: IRLANDIA Data wykonania operacji: 2025-03-26 01:00 Oryginalna kwota operacji: 1000.00 Numer karty: 425125******0264 (1000.00 PLN)</t>
  </si>
  <si>
    <t>Rachunek odbiorcy: 91 1020 0029 9000 2023 2777 2284 Nazwa odbiorcy: OLAF KRAWCZYK Tytuł: SPŁATA AKTUALNEGO ZADŁUŻENIA KARTY KREDYTOWEJ * 8853 OD: 48796555364 Referencje własne zleceniodawcy: 175474585056 (786.33 PLN)</t>
  </si>
  <si>
    <t>Tytuł: 010085232 74350275083009179731633  Lokalizacja: Adres: Revolut**7108* Miasto: Dublin Kraj: IRLANDIA Data wykonania operacji: 2025-03-24 01:00 Oryginalna kwota operacji: 1000.00 Numer karty: 425125******0264 (1000.00 PLN)</t>
  </si>
  <si>
    <t>Tytuł: 010085232 74350275083009177942224  Lokalizacja: Adres: Revolut**7108* Miasto: Dublin Kraj: IRLANDIA Data wykonania operacji: 2025-03-24 01:00 Oryginalna kwota operacji: 1000.00 Numer karty: 425125******0264 (1000.00 PLN)</t>
  </si>
  <si>
    <t>Tytuł: 010085232 74350275082009170569231  Lokalizacja: Adres: Revolut**7108* Miasto: Dublin Kraj: IRLANDIA Data wykonania operacji: 2025-03-23 01:00 Oryginalna kwota operacji: 1500.00 Numer karty: 425125******0264 (1500.00 PLN)</t>
  </si>
  <si>
    <t>Tytuł: 010085232 74350275078009118258588  Lokalizacja: Adres: Revolut**7108* Miasto: Dublin Kraj: IRLANDIA Data wykonania operacji: 2025-03-19 01:00 Oryginalna kwota operacji: 1500.00 Numer karty: 425125******0264 (1500.00 PLN)</t>
  </si>
  <si>
    <t>Tytuł: 010066928 74056285075101092167114  Lokalizacja: Adres: APPLE.COM/BILL Miasto: APPLE.COM/BIL Kraj: IRLANDIA Data wykonania operacji: 2025-03-16 01:00 Oryginalna kwota operacji: 14.99 Numer karty: 425125******0264 (14.99 PLN)</t>
  </si>
  <si>
    <t>Tytuł: 010085232 74350275074009076168120  Lokalizacja: Adres: Revolut**7108* Miasto: Dublin Kraj: IRLANDIA Data wykonania operacji: 2025-03-15 01:00 Oryginalna kwota operacji: 2000.00 Numer karty: 425125******0264 (2000.00 PLN)</t>
  </si>
  <si>
    <t>Tytuł:  74838495070300006205573  Lokalizacja: Adres: ALL GOOD S.A. KAWIARNIA Miasto: WARSZAWA Kraj: POLSKA Data wykonania operacji: 2025-03-11 01:00 Oryginalna kwota operacji: 64.00 Numer karty: 425125******0264 (64.00 PLN)</t>
  </si>
  <si>
    <t>Tytuł: 010085232 74350275070009021869933  Lokalizacja: Adres: Revolut**7108* Miasto: Dublin Kraj: IRLANDIA Data wykonania operacji: 2025-03-11 01:00 Oryginalna kwota operacji: 1500.00 Numer karty: 425125******0264 (1500.00 PLN)</t>
  </si>
  <si>
    <t>Tytuł: 010085232 74350275069009019355781  Lokalizacja: Adres: Revolut**7108* Miasto: Dublin Kraj: IRLANDIA Data wykonania operacji: 2025-03-10 01:00 Oryginalna kwota operacji: 500.00 Numer karty: 425125******0264 (500.00 PLN)</t>
  </si>
  <si>
    <t>Tytuł: 000498849 74230785069163153800013  Lokalizacja: Adres: ZABKA Z2050 K.2 Miasto: WARSZAWA Kraj: POLSKA Data wykonania operacji: 2025-03-10 01:00 Oryginalna kwota operacji: 5.49 Numer karty: 425125******0264 (5.49 PLN)</t>
  </si>
  <si>
    <t>Tytuł: 000498849 74230785070163184355729  Lokalizacja: Adres: NETTO 5304 SCO K.3 Miasto: POZNAN Kraj: POLSKA Data wykonania operacji: 2025-03-10 01:00 Oryginalna kwota operacji: 30.39 Numer karty: 425125******0264 (30.39 PLN)</t>
  </si>
  <si>
    <t>Rachunek odbiorcy: 21 1020 4027 3011 0000 3014 3739 Nazwa odbiorcy: INEA SP. Z O.O.WYSOGOTOWO,UL.WIERZB OWA 8462-081 PRZEŹMIEROWO Tytuł: 95476/2025/03/IS/DS   Referencje własne zleceniodawcy: 175421920041 (99.90 PLN)</t>
  </si>
  <si>
    <t>Nazwa odbiorcy: MOBILE-TRAFFIC-DATA SP. Z O. O. Adres odbiorcy: UL. DRUŻBICKIEGO 11 61-693 POZNAŃ Tytuł: ZAKUP BILETU KOMUNIKACYJNEGO W APLI KACJI IKO  Referencje własne zleceniodawcy: 175421590617 (8.80 PLN)</t>
  </si>
  <si>
    <t>Nazwa odbiorcy: MOBILE-TRAFFIC-DATA SP. Z O. O. Adres odbiorcy: UL. DRUŻBICKIEGO 11 61-693 POZNAŃ Tytuł: ZAKUP BILETU KOMUNIKACYJNEGO W APLI KACJI IKO  Referencje własne zleceniodawcy: 175419869953 (6.80 PLN)</t>
  </si>
  <si>
    <t>Nazwa odbiorcy: MOBILE-TRAFFIC-DATA SP. Z O. O. Adres odbiorcy: UL. DRUŻBICKIEGO 11 61-693 POZNAŃ Tytuł: ZAKUP BILETU KOMUNIKACYJNEGO W APLI KACJI IKO  Referencje własne zleceniodawcy: 175419867624 (6.80 PLN)</t>
  </si>
  <si>
    <t>Tytuł: 010061097 74463675067560681967953  Lokalizacja: Adres: PUBLIC SECTOR CONSULTING Miasto: SLOMIN Kraj: POLSKA Data wykonania operacji: 2025-03-08 01:00 Oryginalna kwota operacji: 2.00 Numer karty: 425125******0264 (2.00 PLN)</t>
  </si>
  <si>
    <t>Tytuł: 000498849 74230785068163071981037  Lokalizacja: Adres: NETTO 5304 SCO K.3 Miasto: POZNAN Kraj: POLSKA Data wykonania operacji: 2025-03-08 01:00 Oryginalna kwota operacji: 68.96 Numer karty: 425125******0264 (68.96 PLN)</t>
  </si>
  <si>
    <t>Tytuł: 000498849 74230785068163076111457  Lokalizacja: Adres: NETTO 5304 SCO K.3 Miasto: POZNAN Kraj: POLSKA Data wykonania operacji: 2025-03-08 01:00 Oryginalna kwota operacji: 1.99 Numer karty: 425125******0264 (1.99 PLN)</t>
  </si>
  <si>
    <t>Tytuł: 010085232 74350275067008995953819  Lokalizacja: Adres: Revolut**7108* Miasto: Dublin Kraj: IRLANDIA Data wykonania operacji: 2025-03-08 01:00 Oryginalna kwota operacji: 100.00 Numer karty: 425125******0264 (100.00 PLN)</t>
  </si>
  <si>
    <t>Tytuł: 010061097 74463675067560681967979  Lokalizacja: Adres: PUBLIC SECTOR CONSULTING Miasto: SLOMIN Kraj: POLSKA Data wykonania operacji: 2025-03-08 01:00 Oryginalna kwota operacji: 2.00 Numer karty: 425125******0264 (2.00 PLN)</t>
  </si>
  <si>
    <t>Tytuł: 010061097 74463675067560681967995  Lokalizacja: Adres: PUBLIC SECTOR CONSULTING Miasto: SLOMIN Kraj: POLSKA Data wykonania operacji: 2025-03-08 01:00 Oryginalna kwota operacji: 5.00 Numer karty: 425125******0264 (5.00 PLN)</t>
  </si>
  <si>
    <t>Tytuł: 010061097 74463675067560681968019  Lokalizacja: Adres: PUBLIC SECTOR CONSULTING Miasto: SLOMIN Kraj: POLSKA Data wykonania operacji: 2025-03-08 01:00 Oryginalna kwota operacji: 2.00 Numer karty: 425125******0264 (2.00 PLN)</t>
  </si>
  <si>
    <t>Tytuł: 010061097 74463675067560681968027  Lokalizacja: Adres: PUBLIC SECTOR CONSULTING Miasto: SLOMIN Kraj: POLSKA Data wykonania operacji: 2025-03-08 01:00 Oryginalna kwota operacji: 5.00 Numer karty: 425125******0264 (5.00 PLN)</t>
  </si>
  <si>
    <t>Tytuł: 010061097 74463675067560681968043  Lokalizacja: Adres: PUBLIC SECTOR CONSULTING Miasto: SLOMIN Kraj: POLSKA Data wykonania operacji: 2025-03-08 01:00 Oryginalna kwota operacji: 2.00 Numer karty: 425125******0264 (2.00 PLN)</t>
  </si>
  <si>
    <t>Tytuł: 010061097 74463675067560681968068  Lokalizacja: Adres: PUBLIC SECTOR CONSULTING Miasto: SLOMIN Kraj: POLSKA Data wykonania operacji: 2025-03-08 01:00 Oryginalna kwota operacji: 10.00 Numer karty: 425125******0264 (10.00 PLN)</t>
  </si>
  <si>
    <t>Tytuł: 010061097 74463675067560681968050  Lokalizacja: Adres: PUBLIC SECTOR CONSULTING Miasto: SLOMIN Kraj: POLSKA Data wykonania operacji: 2025-03-08 01:00 Oryginalna kwota operacji: 2.00 Numer karty: 425125******0264 (2.00 PLN)</t>
  </si>
  <si>
    <t>Rachunek odbiorcy: 89 1020 2472 0000 6802 0594 6928 Nazwa odbiorcy: OLAF RADOSŁAW KRAWCZYK Adres odbiorcy: UL. DĘBOWA 7 47-420 KUŹNIA RACIBORSKA Tytuł: FX71258548 USD/PLN 3.8832  200,00 USD -776,64 PLN Referencje własne zleceniodawcy: 71258548 (776.64 PLN)</t>
  </si>
  <si>
    <t>Tytuł:  74838495066299544498169  Lokalizacja: Adres: PL SBX POZNAN KAPONIERA Miasto: POZNAN Kraj: POLSKA Data wykonania operacji: 2025-03-07 01:00 Oryginalna kwota operacji: 43.80 Numer karty: 425125******0264 (43.80 PLN)</t>
  </si>
  <si>
    <t>Tytuł: 000483849 74838490065493192076243  Lokalizacja: Adres: ZIKO APTEKA 05 Miasto: Poznan Kraj: POLSKA Data wykonania operacji: 2025-03-07 01:00 Oryginalna kwota operacji: 229.28 Numer karty: 425125******0264 (229.28 PLN)</t>
  </si>
  <si>
    <t>Tytuł: 010066928 74056285065105174735187  Lokalizacja: Adres: AIRBNB * HMPEREQM9T Miasto: 822-307-2000 Kraj: LUKSEMBURG Data wykonania operacji: 2025-03-06 01:00 Oryginalna kwota operacji: 243.65 Numer karty: 425125******0264 (243.65 PLN)</t>
  </si>
  <si>
    <t>Tytuł: 010061097 74463675065600650917126  Lokalizacja: Adres: OKRUSZKI EWA PLANK Miasto: POZNAN Kraj: POLSKA Data wykonania operacji: 2025-03-06 01:00 Oryginalna kwota operacji: 89.00 Numer karty: 425125******0264 (89.00 PLN)</t>
  </si>
  <si>
    <t>Tytuł: 000498707 74987075066026293526307  Lokalizacja: Adres: cinema-city.pl Miasto: WARSZAWA Kraj: POLSKA Data wykonania operacji: 2025-03-06 01:00 Oryginalna kwota operacji: 67.80 Numer karty: 425125******0264 (67.80 PLN)</t>
  </si>
  <si>
    <t>Rachunek odbiorcy: 64 1140 2004 0000 3402 7691 7816 Nazwa odbiorcy: ODBIORCA PRZELEWU NA TELEFON Tytuł: PRZELEW  OD: 48796555364 DO: 486*****324 (120.00 PLN)</t>
  </si>
  <si>
    <t>Tytuł: 00000086854383987   Numer telefonu: 48796555364 Lokalizacja: Adres: www.mediaexpert.pl 'Operacja: 00000086854383987 Numer referencyjny: 00000086854383987 (599.00 PLN)</t>
  </si>
  <si>
    <t>Tytuł: 000498849 74230785063162764644253  Lokalizacja: Adres: ZABKA Z0685 K.1 Miasto: POZNAN Kraj: POLSKA Data wykonania operacji: 2025-03-04 01:00 Oryginalna kwota operacji: 26.48 Numer karty: 425125******0264 (26.48 PLN)</t>
  </si>
  <si>
    <t>Tytuł: 000498849 74230785063162764632019  Lokalizacja: Adres: ZABKA Z0685 K.1 Miasto: POZNAN Kraj: POLSKA Data wykonania operacji: 2025-03-04 01:00 Oryginalna kwota operacji: 8.90 Numer karty: 425125******0264 (8.90 PLN)</t>
  </si>
  <si>
    <t>Tytuł: 000498849 74230785063162749262262  Lokalizacja: Adres: MOL SF221 K.2 Miasto: POZNAN Kraj: POLSKA Data wykonania operacji: 2025-03-04 01:00 Oryginalna kwota operacji: 17.99 Numer karty: 425125******0264 (17.99 PLN)</t>
  </si>
  <si>
    <t>Rachunek odbiorcy: 48 1540 1157 8129 0000 0084 2846 Nazwa odbiorcy: DM BOŚ Tytuł: PRZELEW   Referencje własne zleceniodawcy: 175398640462 (3000.00 PLN)</t>
  </si>
  <si>
    <t>Tytuł: 000498849 74230785062162705109938  Lokalizacja: Adres: ZABKA Z0685 K.1 Miasto: POZNAN Kraj: POLSKA Data wykonania operacji: 2025-03-03 01:00 Oryginalna kwota operacji: 6.50 Numer karty: 425125******0264 (6.50 PLN)</t>
  </si>
  <si>
    <t>Tytuł: 010061097 74169505062600627036892  Lokalizacja: Adres: PRACOWNIA PSYCHOLOGICZNA Miasto: POZNAN Kraj: POLSKA Data wykonania operacji: 2025-03-03 01:00 Oryginalna kwota operacji: 200.00 Numer karty: 425125******0264 (200.00 PLN)</t>
  </si>
  <si>
    <t>Tytuł: 000498849 74230785063162727619608  Lokalizacja: Adres: SYNAPSIS MED Miasto: POZNAN Kraj: POLSKA Data wykonania operacji: 2025-03-03 01:00 Oryginalna kwota operacji: 280.00 Numer karty: 425125******0264 (280.00 PLN)</t>
  </si>
  <si>
    <t>Tytuł: OBCY 00000086817517155   Numer telefonu: 48796555364 Lokalizacja: Adres: UL  WAPIENNA 35 Miasto: WROCLAW Kraj: POLSKA Bankomat: OBCY 'Operacja: 00000086817517155 Numer referencyjny: 00000086817517155 (500.00 PLN)</t>
  </si>
  <si>
    <t>Nazwa odbiorcy: MOBILE-TRAFFIC-DATA SP. Z O. O. Adres odbiorcy: UL. DRUŻBICKIEGO 11 61-693 POZNAŃ Tytuł: ZAKUP BILETU KOMUNIKACYJNEGO W APLI KACJI IKO  Referencje własne zleceniodawcy: 175390099440 (4.00 PLN)</t>
  </si>
  <si>
    <t>Tytuł: 010079564 74609055061500008469982  Lokalizacja: Adres: TIMELEFT Miasto: PARIS Kraj: FRANCJA Data wykonania operacji: 2025-03-02 01:00 Oryginalna kwota operacji: 35.24 Numer karty: 425125******0264 (35.24 PLN)</t>
  </si>
  <si>
    <t>Tytuł:  74810315060150096043366  Lokalizacja: Adres: POLEWSKI CONCEPT Miasto: Poznan Kraj: POLSKA Data wykonania operacji: 2025-03-01 01:00 Oryginalna kwota operacji: 12.01 Numer karty: 425125******0264 (12.01 PLN)</t>
  </si>
  <si>
    <t>Nazwa odbiorcy: MOBILE-TRAFFIC-DATA SP. Z O. O. Adres odbiorcy: UL. DRUŻBICKIEGO 11 61-693 POZNAŃ Tytuł: ZAKUP BILETU KOMUNIKACYJNEGO W APLI KACJI IKO  Referencje własne zleceniodawcy: 175389797751 (4.00 PLN)</t>
  </si>
  <si>
    <t>Rachunek odbiorcy: 21 1940 1076 6256 6800 0000 0000 Nazwa odbiorcy: ADAM TYŻYK Tytuł: 12 MP/03/2025   Referencje własne zleceniodawcy: 175384104836 (363.00 PLN)</t>
  </si>
  <si>
    <t>Tytuł: 010085232 74350275059008893061384  Lokalizacja: Adres: Revolut**7108* Miasto: Dublin Kraj: IRLANDIA Data wykonania operacji: 2025-02-28 01:00 Oryginalna kwota operacji: 1000.00 Numer karty: 425125******0264 (1000.00 PLN)</t>
  </si>
  <si>
    <t>Tytuł: 000498849 74230785060162575787542  Lokalizacja: Adres: NETTO 5304 K.1 Miasto: POZNAN Kraj: POLSKA Data wykonania operacji: 2025-02-28 01:00 Oryginalna kwota operacji: 45.30 Numer karty: 425125******0264 (45.30 PLN)</t>
  </si>
  <si>
    <t>Tytuł: 010059127 74062945058120048390770  Lokalizacja: Adres: ebilet.pl Miasto: Warszawa Kraj: POLSKA Data wykonania operacji: 2025-02-27 01:00 Oryginalna kwota operacji: 498.00 Numer karty: 425125******0264 (498.00 PLN)</t>
  </si>
  <si>
    <t>Tytuł: 000498849 74230785059162510361075  Lokalizacja: Adres: NETTO 5304 K.1 Miasto: POZNAN Kraj: POLSKA Data wykonania operacji: 2025-02-27 01:00 Oryginalna kwota operacji: 41.45 Numer karty: 425125******0264 (41.45 PLN)</t>
  </si>
  <si>
    <t>Tytuł: 010071549 74043215058120043980296  Lokalizacja: Adres: PayPro SA   *ALLEGRO SP. Miasto: Poznan Kraj: POLSKA Data wykonania operacji: 2025-02-27 01:00 Oryginalna kwota operacji: 87.56 Numer karty: 425125******0264 (87.56 PLN)</t>
  </si>
  <si>
    <t>202508897201136047' - KANCELARIA PODATKOWO-GOSPODARCZA SP ÓŁKA Z OGRANICZONďż˝ ODPOWIEDZIALNOďż˝C Iďż˝ ul. Radomska 7 44-164 Gliwice NI P: PL 631-264-51-93 (381.87 PLN)</t>
  </si>
  <si>
    <t>202508397202217519' - Urzďż˝d Skarbowy Centrum Rozliczeniowe (5.00 PLN)</t>
  </si>
  <si>
    <t>202507797202170260' - Urzďż˝d Skarbowy Centrum Rozliczeniowe (4928.00 PLN)</t>
  </si>
  <si>
    <t>202507797202168873' - Urzďż˝d Skarbowy Centrum Rozliczeniowe (3134.00 PLN)</t>
  </si>
  <si>
    <t>202507497201162393' - Urzďż˝d Skarbowy Centrum Rozliczeniowe (12.00 PLN)</t>
  </si>
  <si>
    <t>202507497201162365' - Zakďż˝ad Ubezpieczeďż˝ Spoďż˝ecznych 47-400 Racibďż˝rz (3213.25 PLN)</t>
  </si>
  <si>
    <t>202506597209775156' - Orange Polska S.A. Aleje Jerozolimskie 160 02-326 Warszawa NIP 526-025-09-95 (82.29 PLN)</t>
  </si>
  <si>
    <t>202506597209773874' - P4 Sp. z o.o. ul. Wynalazek 1 02-677 Warszawa (262.74 PLN)</t>
  </si>
  <si>
    <t>202506597209770101' - BNP Paribas Leasing Services Sp. z o.o. 00-844 Warszawa, ul.Grzybowska 78 (2331.18 PLN)</t>
  </si>
  <si>
    <t>202506597304465207' - SHELL 03  Torun  POL (91.52 PLN)</t>
  </si>
  <si>
    <t>202506597304387539' - MOL SF221 K.2  POZNAN 61871 POL (242.61 PLN)</t>
  </si>
  <si>
    <t>202506197202065527' - KANCELARIA PODATKOWO-GOSPODARCZA SP ÓŁKA Z OGRANICZONďż˝ ODPOWIEDZIALNOďż˝C Iďż˝ ul. Radomska 7 44-164 Gliwice NI P: PL 631-264-51-93 (381.87 PLN)</t>
  </si>
  <si>
    <t>kata aparat</t>
  </si>
  <si>
    <t>wakaj</t>
  </si>
  <si>
    <t>białko</t>
  </si>
  <si>
    <t>taxi</t>
  </si>
  <si>
    <t>wycieczka</t>
  </si>
  <si>
    <t>prezent</t>
  </si>
  <si>
    <t>kąkuter</t>
  </si>
  <si>
    <t>loty</t>
  </si>
  <si>
    <t>angielski</t>
  </si>
  <si>
    <t>OC/ac</t>
  </si>
  <si>
    <t>prezent mihvu</t>
  </si>
  <si>
    <t>parking</t>
  </si>
  <si>
    <t>pociag birr</t>
  </si>
  <si>
    <t>play</t>
  </si>
  <si>
    <t>orange</t>
  </si>
  <si>
    <t>tucson</t>
  </si>
  <si>
    <t>latarka</t>
  </si>
  <si>
    <t>aparat</t>
  </si>
  <si>
    <t>bossa</t>
  </si>
  <si>
    <t>birr</t>
  </si>
  <si>
    <t>frontendmasters</t>
  </si>
  <si>
    <t>madara</t>
  </si>
  <si>
    <t>nowa forma</t>
  </si>
  <si>
    <t>osłona fuji</t>
  </si>
  <si>
    <t>bateria fuji</t>
  </si>
  <si>
    <t>vat</t>
  </si>
  <si>
    <t>pizza</t>
  </si>
  <si>
    <t>przeglad</t>
  </si>
  <si>
    <t>Badania</t>
  </si>
  <si>
    <t>hotel birr</t>
  </si>
  <si>
    <t>allegro smart</t>
  </si>
  <si>
    <t>prezent marta</t>
  </si>
  <si>
    <t>garnki</t>
  </si>
  <si>
    <t>kawa mama</t>
  </si>
  <si>
    <t>apple</t>
  </si>
  <si>
    <t>prezent p eugeniusz</t>
  </si>
  <si>
    <t>uniqlo</t>
  </si>
  <si>
    <t>knajpa</t>
  </si>
  <si>
    <t>kola</t>
  </si>
  <si>
    <t>badania</t>
  </si>
  <si>
    <t>siepomaga</t>
  </si>
  <si>
    <t>prezent rodzice Tusi</t>
  </si>
  <si>
    <t>multisport</t>
  </si>
  <si>
    <t>księgowa</t>
  </si>
  <si>
    <t>fryzjer</t>
  </si>
  <si>
    <t>drobny prezent</t>
  </si>
  <si>
    <t>p4</t>
  </si>
  <si>
    <t>2 326,62</t>
  </si>
  <si>
    <t>ikea</t>
  </si>
  <si>
    <t>blask</t>
  </si>
  <si>
    <t>paszport</t>
  </si>
  <si>
    <t xml:space="preserve">Kawa i książka </t>
  </si>
  <si>
    <t>kamil</t>
  </si>
  <si>
    <t>inea</t>
  </si>
  <si>
    <t>prezent mama</t>
  </si>
  <si>
    <t>Angielski</t>
  </si>
  <si>
    <t>książka</t>
  </si>
  <si>
    <t>Nowa forma</t>
  </si>
  <si>
    <t>brystol i taśma do fotek</t>
  </si>
  <si>
    <t>zdolni</t>
  </si>
  <si>
    <t>2 333,17</t>
  </si>
  <si>
    <t>Kamil</t>
  </si>
  <si>
    <t xml:space="preserve">Frontend </t>
  </si>
  <si>
    <t>pićku</t>
  </si>
  <si>
    <t>prad</t>
  </si>
  <si>
    <t>wolt</t>
  </si>
  <si>
    <t>medium</t>
  </si>
  <si>
    <t>disney</t>
  </si>
  <si>
    <t>x</t>
  </si>
  <si>
    <t>pitagoras</t>
  </si>
  <si>
    <t>szklanki</t>
  </si>
  <si>
    <t>fotografia</t>
  </si>
  <si>
    <t>kancelaria</t>
  </si>
  <si>
    <t>kluska</t>
  </si>
  <si>
    <t>Aliexpress</t>
  </si>
  <si>
    <t>skąd</t>
  </si>
  <si>
    <t>powerbank</t>
  </si>
  <si>
    <t>pranie kanapy</t>
  </si>
  <si>
    <t>gawilk</t>
  </si>
  <si>
    <t>jedzonko</t>
  </si>
  <si>
    <t>lampka led części</t>
  </si>
  <si>
    <t>ceramika</t>
  </si>
  <si>
    <t>Pho</t>
  </si>
  <si>
    <t>Kampucza</t>
  </si>
  <si>
    <t>autostrada</t>
  </si>
  <si>
    <t>diody do lampki</t>
  </si>
  <si>
    <t>prezent Martusia</t>
  </si>
  <si>
    <t>prezent mieszko</t>
  </si>
  <si>
    <t>psycholog</t>
  </si>
  <si>
    <t>dentysta</t>
  </si>
  <si>
    <t>restauracja</t>
  </si>
  <si>
    <t>bielty</t>
  </si>
  <si>
    <t>lody</t>
  </si>
  <si>
    <t>kubek martusia</t>
  </si>
  <si>
    <t>mc donalds</t>
  </si>
  <si>
    <t>lutowanie</t>
  </si>
  <si>
    <t>prime</t>
  </si>
  <si>
    <t>glupotty</t>
  </si>
  <si>
    <t>meetup</t>
  </si>
  <si>
    <t>allegro lutowanie</t>
  </si>
  <si>
    <t>pyszne</t>
  </si>
  <si>
    <t>kompucza</t>
  </si>
  <si>
    <t>piwna stopa</t>
  </si>
  <si>
    <t>modra</t>
  </si>
  <si>
    <t>keycapy</t>
  </si>
  <si>
    <t>tsunami</t>
  </si>
  <si>
    <t>myjnia</t>
  </si>
  <si>
    <t>piwko</t>
  </si>
  <si>
    <t>smaczki dlapsa</t>
  </si>
  <si>
    <t>auchan kuźnia</t>
  </si>
  <si>
    <t>filtry</t>
  </si>
  <si>
    <t>waga</t>
  </si>
  <si>
    <t>zigbee</t>
  </si>
  <si>
    <t>jula</t>
  </si>
  <si>
    <t>Knajpa</t>
  </si>
  <si>
    <t>restauracja rudy</t>
  </si>
  <si>
    <t xml:space="preserve">arduino </t>
  </si>
  <si>
    <t>chilep</t>
  </si>
  <si>
    <t>filamenty</t>
  </si>
  <si>
    <t>strag</t>
  </si>
  <si>
    <t>Shelter</t>
  </si>
  <si>
    <t>Jula</t>
  </si>
  <si>
    <t>Autka</t>
  </si>
  <si>
    <t>przegląd</t>
  </si>
  <si>
    <t>czujniki</t>
  </si>
  <si>
    <t>castorama</t>
  </si>
  <si>
    <t>buty siłka</t>
  </si>
  <si>
    <t>wino</t>
  </si>
  <si>
    <t>chliep</t>
  </si>
  <si>
    <t>czarny chliep</t>
  </si>
  <si>
    <t>inpost waga</t>
  </si>
  <si>
    <t>japfest</t>
  </si>
  <si>
    <t>koszulka</t>
  </si>
  <si>
    <t>burger</t>
  </si>
  <si>
    <t>frontendmasters &amp; disney</t>
  </si>
  <si>
    <t xml:space="preserve">prąd </t>
  </si>
  <si>
    <t xml:space="preserve"> miedium</t>
  </si>
  <si>
    <t xml:space="preserve">disney </t>
  </si>
  <si>
    <t>frontendmastsers</t>
  </si>
  <si>
    <t>Marta?</t>
  </si>
  <si>
    <t xml:space="preserve">kabel i ladowarka </t>
  </si>
  <si>
    <t>AirPods</t>
  </si>
  <si>
    <t>Zdolni</t>
  </si>
  <si>
    <t>bankook</t>
  </si>
  <si>
    <t>Studio</t>
  </si>
  <si>
    <t>Bankook</t>
  </si>
  <si>
    <t>mokra wloszka</t>
  </si>
  <si>
    <t>Falla</t>
  </si>
  <si>
    <t>prezent andrzej</t>
  </si>
  <si>
    <t>mutlisport</t>
  </si>
  <si>
    <t>suwmiarka</t>
  </si>
  <si>
    <t>fillament</t>
  </si>
  <si>
    <t>leasing</t>
  </si>
  <si>
    <t>Kfc</t>
  </si>
  <si>
    <t>Części do robota</t>
  </si>
  <si>
    <t>prezent murrtusia</t>
  </si>
  <si>
    <t>pad</t>
  </si>
  <si>
    <t>upoważnienie</t>
  </si>
  <si>
    <t>temu</t>
  </si>
  <si>
    <t>dermatolog</t>
  </si>
  <si>
    <t>czarity</t>
  </si>
  <si>
    <t>prezent tusia</t>
  </si>
  <si>
    <t>tort</t>
  </si>
  <si>
    <t>koc piknik</t>
  </si>
  <si>
    <t>ziarna</t>
  </si>
  <si>
    <t>kwiaty</t>
  </si>
  <si>
    <t>torebka</t>
  </si>
  <si>
    <t>śniadanie Jula</t>
  </si>
  <si>
    <t>meet.js</t>
  </si>
  <si>
    <t>piknik</t>
  </si>
  <si>
    <t xml:space="preserve"> wolt</t>
  </si>
  <si>
    <t>prezenta Agatka</t>
  </si>
  <si>
    <t>usd</t>
  </si>
  <si>
    <t>esim</t>
  </si>
  <si>
    <t>Szko nintendo</t>
  </si>
  <si>
    <t xml:space="preserve">Nintendo </t>
  </si>
  <si>
    <t>Zelda</t>
  </si>
  <si>
    <t>BuJo</t>
  </si>
  <si>
    <t>Pizza</t>
  </si>
  <si>
    <t>kaucja parking</t>
  </si>
  <si>
    <t>Japonia</t>
  </si>
  <si>
    <t xml:space="preserve">it takes two </t>
  </si>
  <si>
    <t>Opaska</t>
  </si>
  <si>
    <t>Szkło IP</t>
  </si>
  <si>
    <t xml:space="preserve">Paperspace </t>
  </si>
  <si>
    <t>Mc Donalda</t>
  </si>
  <si>
    <t xml:space="preserve">Szampon do okularów </t>
  </si>
  <si>
    <t>Maczek</t>
  </si>
  <si>
    <t>Kino</t>
  </si>
  <si>
    <t>Mikrofon</t>
  </si>
  <si>
    <t>Dexeryl</t>
  </si>
  <si>
    <t>dac</t>
  </si>
  <si>
    <t>apple music</t>
  </si>
  <si>
    <t>Upoważnienie</t>
  </si>
  <si>
    <t>sluchawki</t>
  </si>
  <si>
    <t>internet</t>
  </si>
  <si>
    <t xml:space="preserve">śniadanie </t>
  </si>
  <si>
    <t>Kwiaty</t>
  </si>
  <si>
    <t>koła</t>
  </si>
  <si>
    <t>ostrovit</t>
  </si>
  <si>
    <t xml:space="preserve">Szkoła Jula </t>
  </si>
  <si>
    <t>kasianski</t>
  </si>
  <si>
    <t>kawiarnia</t>
  </si>
  <si>
    <t>Prezent</t>
  </si>
  <si>
    <t>Biedronka</t>
  </si>
  <si>
    <t>Chełb i rossmann</t>
  </si>
  <si>
    <t>Lozanna</t>
  </si>
  <si>
    <t>starbucks</t>
  </si>
  <si>
    <t>ksiązka</t>
  </si>
  <si>
    <t>ubezpieczenie</t>
  </si>
  <si>
    <t>nocleg kanazawa</t>
  </si>
  <si>
    <t>nocleg tokio</t>
  </si>
  <si>
    <t>Mysz</t>
  </si>
  <si>
    <t xml:space="preserve">Ubezpieczenie </t>
  </si>
  <si>
    <t xml:space="preserve">Biedronka </t>
  </si>
  <si>
    <t xml:space="preserve">Świadom lichwa </t>
  </si>
  <si>
    <t>Autostrada</t>
  </si>
  <si>
    <t>Kabel</t>
  </si>
  <si>
    <t>chleb</t>
  </si>
  <si>
    <t>McDonalds</t>
  </si>
  <si>
    <t>Parking</t>
  </si>
  <si>
    <t>Kebab</t>
  </si>
  <si>
    <t xml:space="preserve">Przegląd </t>
  </si>
  <si>
    <t>spanie kyoto</t>
  </si>
  <si>
    <t>adapter</t>
  </si>
  <si>
    <t>Spanie Osaka</t>
  </si>
  <si>
    <t>2 323,47</t>
  </si>
  <si>
    <t xml:space="preserve">Ramen </t>
  </si>
  <si>
    <t>Pierścionek</t>
  </si>
  <si>
    <t>Paczki</t>
  </si>
  <si>
    <t>Nocleg Hiroshima</t>
  </si>
  <si>
    <t>Nocleg napszima</t>
  </si>
  <si>
    <t xml:space="preserve">Inea </t>
  </si>
  <si>
    <t>coffeedesk</t>
  </si>
  <si>
    <t>koc</t>
  </si>
  <si>
    <t>wosk</t>
  </si>
  <si>
    <t>lidl challenge</t>
  </si>
  <si>
    <t>rossmann</t>
  </si>
  <si>
    <t>zasilacz</t>
  </si>
  <si>
    <t>spanie tokio 2</t>
  </si>
  <si>
    <t>cyberpunk</t>
  </si>
  <si>
    <t>suple</t>
  </si>
  <si>
    <t xml:space="preserve">Mango mama </t>
  </si>
  <si>
    <t xml:space="preserve">Fryzjera </t>
  </si>
  <si>
    <t>Suple</t>
  </si>
  <si>
    <t>żyletki</t>
  </si>
  <si>
    <t>Gf nie</t>
  </si>
  <si>
    <t>Teamlabs</t>
  </si>
  <si>
    <t xml:space="preserve">Siłka </t>
  </si>
  <si>
    <t xml:space="preserve">podkładka </t>
  </si>
  <si>
    <t>Hp tokyo</t>
  </si>
  <si>
    <t>Ale kosmos</t>
  </si>
  <si>
    <t>Waga</t>
  </si>
  <si>
    <t>fedmasters</t>
  </si>
  <si>
    <t>nvidia</t>
  </si>
  <si>
    <t>pyszne.pl</t>
  </si>
  <si>
    <t>spanie okayama</t>
  </si>
  <si>
    <t>spanie tokyo</t>
  </si>
  <si>
    <t>??</t>
  </si>
  <si>
    <t xml:space="preserve">Prezent </t>
  </si>
  <si>
    <t>przejazd birr</t>
  </si>
  <si>
    <t xml:space="preserve">Japonia </t>
  </si>
  <si>
    <t>pociąg birr</t>
  </si>
  <si>
    <t>Nero</t>
  </si>
  <si>
    <t xml:space="preserve">Jula </t>
  </si>
  <si>
    <t xml:space="preserve">Czapka Jula </t>
  </si>
  <si>
    <t>KFC</t>
  </si>
  <si>
    <t xml:space="preserve">Wars </t>
  </si>
  <si>
    <t>Coffedesk</t>
  </si>
  <si>
    <t xml:space="preserve">Uniqlo </t>
  </si>
  <si>
    <t>foto lampa</t>
  </si>
  <si>
    <t>Wyjazd Lozanna</t>
  </si>
  <si>
    <t>kzn</t>
  </si>
  <si>
    <t>fripers</t>
  </si>
  <si>
    <t xml:space="preserve">Sigma </t>
  </si>
  <si>
    <t>Siłka</t>
  </si>
  <si>
    <t>poradnik foto</t>
  </si>
  <si>
    <t>mangez, płyn</t>
  </si>
  <si>
    <t xml:space="preserve">Knajpa </t>
  </si>
  <si>
    <t>polisa</t>
  </si>
  <si>
    <t>lampka</t>
  </si>
  <si>
    <t>polityka</t>
  </si>
  <si>
    <t>trening</t>
  </si>
  <si>
    <t>kfc</t>
  </si>
  <si>
    <t>piernik</t>
  </si>
  <si>
    <t>inpost</t>
  </si>
  <si>
    <t>okruszki</t>
  </si>
  <si>
    <t>patera</t>
  </si>
  <si>
    <t>remont</t>
  </si>
  <si>
    <t>siostra</t>
  </si>
  <si>
    <t>karta jula</t>
  </si>
  <si>
    <t>prezenta mama</t>
  </si>
  <si>
    <t>opona</t>
  </si>
  <si>
    <t>mcdonalds</t>
  </si>
  <si>
    <t>mcodnalds</t>
  </si>
  <si>
    <t>drinki birr</t>
  </si>
  <si>
    <t>jarmark</t>
  </si>
  <si>
    <t>kołdra martusia</t>
  </si>
  <si>
    <t>sushi</t>
  </si>
  <si>
    <t>???</t>
  </si>
  <si>
    <t>hotel berlin</t>
  </si>
  <si>
    <t>konferencja</t>
  </si>
  <si>
    <t>Temu</t>
  </si>
  <si>
    <t xml:space="preserve">Dentysta </t>
  </si>
  <si>
    <t>Loty</t>
  </si>
  <si>
    <t>ramen</t>
  </si>
  <si>
    <t>siłownia</t>
  </si>
  <si>
    <t>pożyczka jula</t>
  </si>
  <si>
    <t>prezent gienek</t>
  </si>
  <si>
    <t>moleskine</t>
  </si>
  <si>
    <t>certyfikat vue</t>
  </si>
  <si>
    <t>wynos</t>
  </si>
  <si>
    <t>prezenta agata</t>
  </si>
  <si>
    <t>prezenta</t>
  </si>
  <si>
    <t>swiety</t>
  </si>
  <si>
    <t>prezent wojtek</t>
  </si>
  <si>
    <t>spanie londyn</t>
  </si>
  <si>
    <t>empik</t>
  </si>
  <si>
    <t>t14</t>
  </si>
  <si>
    <t>value</t>
  </si>
  <si>
    <t>multisport marta</t>
  </si>
  <si>
    <t>iphone</t>
  </si>
  <si>
    <t>Birr</t>
  </si>
  <si>
    <t>Fun</t>
  </si>
  <si>
    <t>Dysk</t>
  </si>
  <si>
    <t>Siłownia</t>
  </si>
  <si>
    <t>Przemy Jula</t>
  </si>
  <si>
    <t xml:space="preserve">Prezent mama </t>
  </si>
  <si>
    <t xml:space="preserve">Konferencja </t>
  </si>
  <si>
    <t>opony</t>
  </si>
  <si>
    <t>nero</t>
  </si>
  <si>
    <t>filtr sigma</t>
  </si>
  <si>
    <t>alina</t>
  </si>
  <si>
    <t>szczepienie</t>
  </si>
  <si>
    <t>Croatia</t>
  </si>
  <si>
    <t>sigma</t>
  </si>
  <si>
    <t>kubki</t>
  </si>
  <si>
    <t>lampa lx100</t>
  </si>
  <si>
    <t>hotel</t>
  </si>
  <si>
    <t>hotel amsterdam</t>
  </si>
  <si>
    <t>okulary plyn</t>
  </si>
  <si>
    <t xml:space="preserve">parking </t>
  </si>
  <si>
    <t>kopenhaga</t>
  </si>
  <si>
    <t>C1</t>
  </si>
  <si>
    <t xml:space="preserve">Bateria </t>
  </si>
  <si>
    <t>Dania</t>
  </si>
  <si>
    <t>dysk</t>
  </si>
  <si>
    <t>parking lotnisko</t>
  </si>
  <si>
    <t>picbox</t>
  </si>
  <si>
    <t>bancook</t>
  </si>
  <si>
    <t>martusia prezent</t>
  </si>
  <si>
    <t>chromatic</t>
  </si>
  <si>
    <t>bajki plus</t>
  </si>
  <si>
    <t>Karta kopenhaga</t>
  </si>
  <si>
    <t xml:space="preserve">SlodycZe </t>
  </si>
  <si>
    <t>samochód</t>
  </si>
  <si>
    <t>szczepienia</t>
  </si>
  <si>
    <t>okno</t>
  </si>
  <si>
    <t>kurs node</t>
  </si>
  <si>
    <t>opener</t>
  </si>
  <si>
    <t>by mac</t>
  </si>
  <si>
    <t>kebap</t>
  </si>
  <si>
    <t>ciasto</t>
  </si>
  <si>
    <t>frontend masters</t>
  </si>
  <si>
    <t>gumki apple'</t>
  </si>
  <si>
    <t>Rodzice pożyczka 500 w sumie 24000</t>
  </si>
  <si>
    <t>prezent Jula</t>
  </si>
  <si>
    <t>Bateria</t>
  </si>
  <si>
    <t>Fryzjer</t>
  </si>
  <si>
    <t>kino</t>
  </si>
  <si>
    <t>pasek</t>
  </si>
  <si>
    <t>hotel pula</t>
  </si>
  <si>
    <t>Tajfun</t>
  </si>
  <si>
    <t>Alina</t>
  </si>
  <si>
    <t>księgowość</t>
  </si>
  <si>
    <t>dexeryl</t>
  </si>
  <si>
    <t>Play</t>
  </si>
  <si>
    <t>cable mgmnt</t>
  </si>
  <si>
    <t xml:space="preserve">luny </t>
  </si>
  <si>
    <t>filtry butelka</t>
  </si>
  <si>
    <t>The flow</t>
  </si>
  <si>
    <t>Alpha gpc</t>
  </si>
  <si>
    <t>Restauracja</t>
  </si>
  <si>
    <t>Ofc</t>
  </si>
  <si>
    <t>Bancook</t>
  </si>
  <si>
    <t>Hotel</t>
  </si>
  <si>
    <t>hotel sopot</t>
  </si>
  <si>
    <t xml:space="preserve">angielski </t>
  </si>
  <si>
    <t>piwo i dogi</t>
  </si>
  <si>
    <t>Grono</t>
  </si>
  <si>
    <t>B&amp;b</t>
  </si>
  <si>
    <t>bilety</t>
  </si>
  <si>
    <t>comandante</t>
  </si>
  <si>
    <t>stacja dock</t>
  </si>
  <si>
    <t xml:space="preserve">kawiarnia </t>
  </si>
  <si>
    <t xml:space="preserve">parking + myjnia </t>
  </si>
  <si>
    <t>Spa</t>
  </si>
  <si>
    <t>knajpka marta</t>
  </si>
  <si>
    <t>komputer andrzej</t>
  </si>
  <si>
    <t>martusia multisport</t>
  </si>
  <si>
    <t>vincent</t>
  </si>
  <si>
    <t>ekler</t>
  </si>
  <si>
    <t>ristorante</t>
  </si>
  <si>
    <t>lidl</t>
  </si>
  <si>
    <t>ram</t>
  </si>
  <si>
    <t>DisplayPort</t>
  </si>
  <si>
    <t>szampon</t>
  </si>
  <si>
    <t>Biuro</t>
  </si>
  <si>
    <t>oragne</t>
  </si>
  <si>
    <t>swieta</t>
  </si>
  <si>
    <t>porada</t>
  </si>
  <si>
    <t>Schabowy</t>
  </si>
  <si>
    <t>Prezent dziecko</t>
  </si>
  <si>
    <t>Case</t>
  </si>
  <si>
    <t>pociąg</t>
  </si>
  <si>
    <t>folia aw7</t>
  </si>
  <si>
    <t>piwo</t>
  </si>
  <si>
    <t>Dongle m1</t>
  </si>
  <si>
    <t>piekarnia</t>
  </si>
  <si>
    <t>dzien kobiet</t>
  </si>
  <si>
    <t>lego</t>
  </si>
  <si>
    <t>Gdańsk</t>
  </si>
  <si>
    <t>byMac</t>
  </si>
  <si>
    <t>bymac</t>
  </si>
  <si>
    <t>tonari</t>
  </si>
  <si>
    <t>adobe</t>
  </si>
  <si>
    <t>peruwiana</t>
  </si>
  <si>
    <t>multikino</t>
  </si>
  <si>
    <t>wakacje</t>
  </si>
  <si>
    <t>pan pablo</t>
  </si>
  <si>
    <t>adovbe</t>
  </si>
  <si>
    <t>laguna</t>
  </si>
  <si>
    <t>Repellenty</t>
  </si>
  <si>
    <t>airbnb</t>
  </si>
  <si>
    <t>rejestracja</t>
  </si>
  <si>
    <t>yubikey</t>
  </si>
  <si>
    <t>dekoracje</t>
  </si>
  <si>
    <t>Prezent Tusia</t>
  </si>
  <si>
    <t>ubezpieczenie AC tucson</t>
  </si>
  <si>
    <t>GAP</t>
  </si>
  <si>
    <t>cafe nero</t>
  </si>
  <si>
    <t>węgiel</t>
  </si>
  <si>
    <t>leki malaria</t>
  </si>
  <si>
    <t>malaria</t>
  </si>
  <si>
    <t>holowanie</t>
  </si>
  <si>
    <t>tajlandia airbnb</t>
  </si>
  <si>
    <t>spanie tajlandia</t>
  </si>
  <si>
    <t xml:space="preserve">prezent andrzej </t>
  </si>
  <si>
    <t>lastryko</t>
  </si>
  <si>
    <t>prezent marta rodzice</t>
  </si>
  <si>
    <t>prezent rodzice marta</t>
  </si>
  <si>
    <t>prezent jula</t>
  </si>
  <si>
    <t xml:space="preserve">pyszne </t>
  </si>
  <si>
    <t>loty vietnam</t>
  </si>
  <si>
    <t>vogue</t>
  </si>
  <si>
    <t>mc</t>
  </si>
  <si>
    <t>etui</t>
  </si>
  <si>
    <t>czynsz</t>
  </si>
  <si>
    <t>Kurs three.js</t>
  </si>
  <si>
    <t>Pralnia</t>
  </si>
  <si>
    <t>prezent martusia</t>
  </si>
  <si>
    <t xml:space="preserve">Prezent jula </t>
  </si>
  <si>
    <t xml:space="preserve">Prezent Martusia </t>
  </si>
  <si>
    <t>maszynka i oral b</t>
  </si>
  <si>
    <t>uro</t>
  </si>
  <si>
    <t>Ikea</t>
  </si>
  <si>
    <t xml:space="preserve">Prezenty chf </t>
  </si>
  <si>
    <t>Pociąg chf</t>
  </si>
  <si>
    <t>robot</t>
  </si>
  <si>
    <t>Happa</t>
  </si>
  <si>
    <t>Daniel</t>
  </si>
  <si>
    <t>Lody</t>
  </si>
  <si>
    <t>Meksykanie</t>
  </si>
  <si>
    <t xml:space="preserve">Bilety vito Ralphowi </t>
  </si>
  <si>
    <t xml:space="preserve">Adobe </t>
  </si>
  <si>
    <t>Buty</t>
  </si>
  <si>
    <t xml:space="preserve">Ła papaya </t>
  </si>
  <si>
    <t xml:space="preserve">Czebureki </t>
  </si>
  <si>
    <t>Proseczjo</t>
  </si>
  <si>
    <t>Sigma</t>
  </si>
  <si>
    <t>Inea</t>
  </si>
  <si>
    <t xml:space="preserve">Żarówki </t>
  </si>
  <si>
    <t>A4</t>
  </si>
  <si>
    <t xml:space="preserve">Drineczki </t>
  </si>
  <si>
    <t>Mcdonalds</t>
  </si>
  <si>
    <t xml:space="preserve">Mcdonalds </t>
  </si>
  <si>
    <t>Prime</t>
  </si>
  <si>
    <t xml:space="preserve">porada </t>
  </si>
  <si>
    <t xml:space="preserve">Pożyczka jula </t>
  </si>
  <si>
    <t>Aparat</t>
  </si>
  <si>
    <t>Roborock</t>
  </si>
  <si>
    <t>bogusz</t>
  </si>
  <si>
    <t>Babu frik</t>
  </si>
  <si>
    <t>marta</t>
  </si>
  <si>
    <t xml:space="preserve">Health labs </t>
  </si>
  <si>
    <t>ubezp wlochy</t>
  </si>
  <si>
    <t xml:space="preserve">Młynek </t>
  </si>
  <si>
    <t>Rzym + knajpki</t>
  </si>
  <si>
    <t>wino i pizza</t>
  </si>
  <si>
    <t xml:space="preserve">tusia </t>
  </si>
  <si>
    <t>pastrami</t>
  </si>
  <si>
    <t>dim sum</t>
  </si>
  <si>
    <t>BK</t>
  </si>
  <si>
    <t xml:space="preserve">bytom kawa </t>
  </si>
  <si>
    <t>sushi bytom</t>
  </si>
  <si>
    <t>bytom kawa</t>
  </si>
  <si>
    <t>fest</t>
  </si>
  <si>
    <t>hilo</t>
  </si>
  <si>
    <t>kirgijska</t>
  </si>
  <si>
    <t xml:space="preserve">parking lot </t>
  </si>
  <si>
    <t>kredyt sigma</t>
  </si>
  <si>
    <t>roborock</t>
  </si>
  <si>
    <t>przejazd rzym</t>
  </si>
  <si>
    <t>GVA</t>
  </si>
  <si>
    <t>winieta</t>
  </si>
  <si>
    <t>pkp wwa</t>
  </si>
  <si>
    <t>kwiatek</t>
  </si>
  <si>
    <t xml:space="preserve">Bilety Bangkok </t>
  </si>
  <si>
    <t xml:space="preserve">brunch </t>
  </si>
  <si>
    <t xml:space="preserve">Bilety roma </t>
  </si>
  <si>
    <t>Disney</t>
  </si>
  <si>
    <t xml:space="preserve">Jezioro </t>
  </si>
  <si>
    <t>softbox</t>
  </si>
  <si>
    <t>Francja</t>
  </si>
  <si>
    <t>Ravensburg</t>
  </si>
  <si>
    <t>matcha</t>
  </si>
  <si>
    <t>tuptanie</t>
  </si>
  <si>
    <t>mandat</t>
  </si>
  <si>
    <t>jola</t>
  </si>
  <si>
    <t>bilety rzym</t>
  </si>
  <si>
    <t>Microfrontends</t>
  </si>
  <si>
    <t xml:space="preserve"> </t>
  </si>
  <si>
    <t>gawlik</t>
  </si>
  <si>
    <t>capture one</t>
  </si>
  <si>
    <t>herbata</t>
  </si>
  <si>
    <t>amciu</t>
  </si>
  <si>
    <t>pierniki</t>
  </si>
  <si>
    <t>Robot</t>
  </si>
  <si>
    <t>Fotografia</t>
  </si>
  <si>
    <t>Pilot</t>
  </si>
  <si>
    <t>krypto etc</t>
  </si>
  <si>
    <t>Headspace</t>
  </si>
  <si>
    <t>Mieszkanie</t>
  </si>
  <si>
    <t>Obiad</t>
  </si>
  <si>
    <t>Orange</t>
  </si>
  <si>
    <t xml:space="preserve">Jula Berlin </t>
  </si>
  <si>
    <t>obiad</t>
  </si>
  <si>
    <t>Niee</t>
  </si>
  <si>
    <t xml:space="preserve">Martusia Prezent </t>
  </si>
  <si>
    <t>kawka</t>
  </si>
  <si>
    <t>polisa oc</t>
  </si>
  <si>
    <t>pożyczka andrzej</t>
  </si>
  <si>
    <t>lightroom</t>
  </si>
  <si>
    <t>kirgistan</t>
  </si>
  <si>
    <t>lindberg</t>
  </si>
  <si>
    <t>uro martusia</t>
  </si>
  <si>
    <t>golarka</t>
  </si>
  <si>
    <t>happa</t>
  </si>
  <si>
    <t>inna piekarnia</t>
  </si>
  <si>
    <t>inne</t>
  </si>
  <si>
    <t>haikara</t>
  </si>
  <si>
    <t>mopy</t>
  </si>
  <si>
    <t>kolacja</t>
  </si>
  <si>
    <t>piekarania</t>
  </si>
  <si>
    <t>FEST</t>
  </si>
  <si>
    <t>prowizja</t>
  </si>
  <si>
    <t>bnb krk</t>
  </si>
  <si>
    <t>aparat dół</t>
  </si>
  <si>
    <t>amazon prime</t>
  </si>
  <si>
    <t>Piwko</t>
  </si>
  <si>
    <t>młynek</t>
  </si>
  <si>
    <t>Ram</t>
  </si>
  <si>
    <t xml:space="preserve">Jedzenie </t>
  </si>
  <si>
    <t>AW7</t>
  </si>
  <si>
    <t xml:space="preserve">Szkatułka </t>
  </si>
  <si>
    <t>Tv</t>
  </si>
  <si>
    <t>Kolacja</t>
  </si>
  <si>
    <t>Mac air</t>
  </si>
  <si>
    <t>Wydatki</t>
  </si>
  <si>
    <t>suszarka</t>
  </si>
  <si>
    <t>kawiarka</t>
  </si>
  <si>
    <t>Julia holandia</t>
  </si>
  <si>
    <t xml:space="preserve">życie </t>
  </si>
  <si>
    <t xml:space="preserve">siepomaga </t>
  </si>
  <si>
    <t>Lidl</t>
  </si>
  <si>
    <t>a7</t>
  </si>
  <si>
    <t>Wojtek</t>
  </si>
  <si>
    <t xml:space="preserve">Kaucja </t>
  </si>
  <si>
    <t>neobab</t>
  </si>
  <si>
    <t>testy Jula</t>
  </si>
  <si>
    <t>zwrot ipad</t>
  </si>
  <si>
    <t>mexico bar</t>
  </si>
  <si>
    <t>ch + wydatki</t>
  </si>
  <si>
    <t>Szal</t>
  </si>
  <si>
    <t xml:space="preserve">Książka </t>
  </si>
  <si>
    <t>boostme</t>
  </si>
  <si>
    <t>Psych</t>
  </si>
  <si>
    <t>Tankuje</t>
  </si>
  <si>
    <t>imprezka</t>
  </si>
  <si>
    <t>podkladka</t>
  </si>
  <si>
    <t>A7</t>
  </si>
  <si>
    <t>tel</t>
  </si>
  <si>
    <t>btm</t>
  </si>
  <si>
    <t>ksiazka</t>
  </si>
  <si>
    <t>mata</t>
  </si>
  <si>
    <t xml:space="preserve">lot ch </t>
  </si>
  <si>
    <t>podstawka + klawa</t>
  </si>
  <si>
    <t>mysz</t>
  </si>
  <si>
    <t>crypto</t>
  </si>
  <si>
    <t>Porto nocleg</t>
  </si>
  <si>
    <t>Kurtka</t>
  </si>
  <si>
    <t>bombel</t>
  </si>
  <si>
    <t xml:space="preserve">szkody na bomblu </t>
  </si>
  <si>
    <t xml:space="preserve">Loty porto </t>
  </si>
  <si>
    <t>psych</t>
  </si>
  <si>
    <t>else</t>
  </si>
  <si>
    <t>the north fish</t>
  </si>
  <si>
    <t>porto</t>
  </si>
  <si>
    <t>Uro jula</t>
  </si>
  <si>
    <t>Drezno</t>
  </si>
  <si>
    <t>andrzej</t>
  </si>
  <si>
    <t>kredyt a7</t>
  </si>
  <si>
    <t>kredyt s9</t>
  </si>
  <si>
    <t>wwa</t>
  </si>
  <si>
    <t>usbc display</t>
  </si>
  <si>
    <t>wieden</t>
  </si>
  <si>
    <t>split</t>
  </si>
  <si>
    <t>Dubrovnik</t>
  </si>
  <si>
    <t xml:space="preserve">polityka </t>
  </si>
  <si>
    <t>slub daniela</t>
  </si>
  <si>
    <t>wydruk</t>
  </si>
  <si>
    <t>buty</t>
  </si>
  <si>
    <t>obiad poznań</t>
  </si>
  <si>
    <t>korek</t>
  </si>
  <si>
    <t xml:space="preserve">generali </t>
  </si>
  <si>
    <t>winiety</t>
  </si>
  <si>
    <t>plitwice</t>
  </si>
  <si>
    <t>blacha</t>
  </si>
  <si>
    <t>czajnik</t>
  </si>
  <si>
    <t>sony cashback</t>
  </si>
  <si>
    <t>a7iii</t>
  </si>
  <si>
    <t>kawalerski montenegro</t>
  </si>
  <si>
    <t>Mlynek</t>
  </si>
  <si>
    <t>filtry blenda</t>
  </si>
  <si>
    <t xml:space="preserve">Autoszyby </t>
  </si>
  <si>
    <t>pentasa</t>
  </si>
  <si>
    <t xml:space="preserve">kubki </t>
  </si>
  <si>
    <t xml:space="preserve">ortodonta </t>
  </si>
  <si>
    <t xml:space="preserve">LaCava </t>
  </si>
  <si>
    <t>kuznia</t>
  </si>
  <si>
    <t>kwiatki</t>
  </si>
  <si>
    <t xml:space="preserve">chemia z Niemiec </t>
  </si>
  <si>
    <t>mleczko wege</t>
  </si>
  <si>
    <t>grzyby</t>
  </si>
  <si>
    <t>zbkwc</t>
  </si>
  <si>
    <t>shroomMe</t>
  </si>
  <si>
    <t>fitry</t>
  </si>
  <si>
    <t>smar</t>
  </si>
  <si>
    <t>burgier</t>
  </si>
  <si>
    <t>gulasz</t>
  </si>
  <si>
    <t>baterie mamiya</t>
  </si>
  <si>
    <t>acerola</t>
  </si>
  <si>
    <t>film martusia</t>
  </si>
  <si>
    <t>truskawki</t>
  </si>
  <si>
    <t>magnum</t>
  </si>
  <si>
    <t xml:space="preserve">lemoniada </t>
  </si>
  <si>
    <t>woda</t>
  </si>
  <si>
    <t>kaucja krzycka</t>
  </si>
  <si>
    <t>mama leki</t>
  </si>
  <si>
    <t>julia</t>
  </si>
  <si>
    <t>wizzair</t>
  </si>
  <si>
    <t>zwrot ryiansr</t>
  </si>
  <si>
    <t>Kategoria</t>
  </si>
  <si>
    <t>Suma</t>
  </si>
  <si>
    <t xml:space="preserve">dentysta </t>
  </si>
  <si>
    <t>mpk</t>
  </si>
  <si>
    <t>uber</t>
  </si>
  <si>
    <t xml:space="preserve">bolt </t>
  </si>
  <si>
    <t>bulka z maslem</t>
  </si>
  <si>
    <t>action</t>
  </si>
  <si>
    <t>koszulki</t>
  </si>
  <si>
    <t>house of seitan</t>
  </si>
  <si>
    <t>mexicana</t>
  </si>
  <si>
    <t>fuka</t>
  </si>
  <si>
    <t>notes</t>
  </si>
  <si>
    <t xml:space="preserve">biedronka </t>
  </si>
  <si>
    <t>sos sijowy</t>
  </si>
  <si>
    <t>auchan</t>
  </si>
  <si>
    <t xml:space="preserve">koszulka </t>
  </si>
  <si>
    <t>zabka</t>
  </si>
  <si>
    <t>gasnica</t>
  </si>
  <si>
    <t xml:space="preserve">band </t>
  </si>
  <si>
    <t>ubezpieczenie KL</t>
  </si>
  <si>
    <t>kurtka</t>
  </si>
  <si>
    <t>jadlonomia</t>
  </si>
  <si>
    <t xml:space="preserve">wakacje </t>
  </si>
  <si>
    <t>jedzenie</t>
  </si>
  <si>
    <t>alko</t>
  </si>
  <si>
    <t>foto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</si>
</sst>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zł-415]"/>
    <numFmt numFmtId="165" formatCode="mmmyyyy"/>
    <numFmt numFmtId="166" formatCode="d-m-yyyy"/>
    <numFmt numFmtId="167" formatCode="dd-mm-yyyy"/>
    <numFmt numFmtId="168" formatCode="dd-MM-yyyy"/>
    <numFmt numFmtId="169" formatCode="yyyy-MM-dd"/>
    <numFmt numFmtId="170" formatCode="yyyy-mm-d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sz val="10.0"/>
      <color rgb="FF222222"/>
      <name val="Arial"/>
    </font>
    <font>
      <color rgb="FF222222"/>
      <name val="Arial"/>
    </font>
    <font>
      <color rgb="FF000000"/>
      <name val="Arial"/>
    </font>
    <font>
      <u/>
      <sz val="10.0"/>
      <color rgb="FF0000FF"/>
    </font>
    <font>
      <sz val="10.0"/>
      <color theme="1"/>
      <name val="Arial"/>
    </font>
    <font>
      <sz val="11.0"/>
      <color theme="1"/>
      <name val="Arial"/>
    </font>
    <font>
      <sz val="11.0"/>
      <color theme="1"/>
      <name val="UICTFontTextStyleBody"/>
    </font>
    <font>
      <sz val="10.0"/>
      <color theme="1"/>
      <name val="UICTFontTextStyleBody"/>
    </font>
    <font>
      <sz val="11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Fon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167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/>
    </xf>
    <xf borderId="0" fillId="2" fontId="5" numFmtId="0" xfId="0" applyAlignment="1" applyFill="1" applyFont="1">
      <alignment horizontal="right" readingOrder="0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righ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shrinkToFit="0" wrapText="0"/>
    </xf>
    <xf quotePrefix="1"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169" xfId="0" applyFont="1" applyNumberFormat="1"/>
    <xf borderId="0" fillId="0" fontId="2" numFmtId="164" xfId="0" applyAlignment="1" applyFont="1" applyNumberFormat="1">
      <alignment horizontal="left" readingOrder="0"/>
    </xf>
    <xf borderId="0" fillId="0" fontId="2" numFmtId="164" xfId="0" applyAlignment="1" applyFont="1" applyNumberFormat="1">
      <alignment horizontal="right" readingOrder="0"/>
    </xf>
    <xf borderId="0" fillId="0" fontId="2" numFmtId="164" xfId="0" applyAlignment="1" applyFont="1" applyNumberFormat="1">
      <alignment readingOrder="0" shrinkToFit="0" wrapText="1"/>
    </xf>
    <xf borderId="0" fillId="2" fontId="5" numFmtId="164" xfId="0" applyAlignment="1" applyFont="1" applyNumberFormat="1">
      <alignment horizontal="right" readingOrder="0"/>
    </xf>
    <xf borderId="0" fillId="2" fontId="6" numFmtId="164" xfId="0" applyAlignment="1" applyFont="1" applyNumberFormat="1">
      <alignment readingOrder="0"/>
    </xf>
    <xf borderId="0" fillId="2" fontId="6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9" xfId="0" applyAlignment="1" applyFont="1" applyNumberFormat="1">
      <alignment readingOrder="0"/>
    </xf>
    <xf borderId="0" fillId="2" fontId="7" numFmtId="164" xfId="0" applyAlignment="1" applyFont="1" applyNumberFormat="1">
      <alignment horizontal="right" readingOrder="0"/>
    </xf>
    <xf borderId="0" fillId="0" fontId="1" numFmtId="170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  <xf borderId="0" fillId="2" fontId="5" numFmtId="164" xfId="0" applyAlignment="1" applyFont="1" applyNumberFormat="1">
      <alignment readingOrder="0"/>
    </xf>
    <xf borderId="0" fillId="2" fontId="7" numFmtId="164" xfId="0" applyAlignment="1" applyFont="1" applyNumberFormat="1">
      <alignment horizontal="left" readingOrder="0"/>
    </xf>
    <xf borderId="0" fillId="3" fontId="9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readingOrder="0" shrinkToFit="0" wrapText="1"/>
    </xf>
    <xf borderId="0" fillId="3" fontId="10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3" fontId="11" numFmtId="164" xfId="0" applyAlignment="1" applyFont="1" applyNumberFormat="1">
      <alignment readingOrder="0"/>
    </xf>
    <xf borderId="0" fillId="0" fontId="12" numFmtId="164" xfId="0" applyAlignment="1" applyFont="1" applyNumberFormat="1">
      <alignment readingOrder="0"/>
    </xf>
    <xf borderId="0" fillId="0" fontId="3" numFmtId="164" xfId="0" applyFont="1" applyNumberFormat="1"/>
    <xf borderId="0" fillId="2" fontId="13" numFmtId="164" xfId="0" applyFont="1" applyNumberFormat="1"/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2"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2" Type="http://schemas.openxmlformats.org/officeDocument/2006/relationships/pivotCacheDefinition" Target="pivotCache/pivotCacheDefinition32.xml"/><Relationship Id="rId101" Type="http://schemas.openxmlformats.org/officeDocument/2006/relationships/pivotCacheDefinition" Target="pivotCache/pivotCacheDefinition31.xml"/><Relationship Id="rId100" Type="http://schemas.openxmlformats.org/officeDocument/2006/relationships/pivotCacheDefinition" Target="pivotCache/pivotCacheDefinition30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95" Type="http://schemas.openxmlformats.org/officeDocument/2006/relationships/pivotCacheDefinition" Target="pivotCache/pivotCacheDefinition25.xml"/><Relationship Id="rId94" Type="http://schemas.openxmlformats.org/officeDocument/2006/relationships/pivotCacheDefinition" Target="pivotCache/pivotCacheDefinition24.xml"/><Relationship Id="rId97" Type="http://schemas.openxmlformats.org/officeDocument/2006/relationships/pivotCacheDefinition" Target="pivotCache/pivotCacheDefinition27.xml"/><Relationship Id="rId96" Type="http://schemas.openxmlformats.org/officeDocument/2006/relationships/pivotCacheDefinition" Target="pivotCache/pivotCacheDefinition26.xml"/><Relationship Id="rId11" Type="http://schemas.openxmlformats.org/officeDocument/2006/relationships/worksheet" Target="worksheets/sheet7.xml"/><Relationship Id="rId99" Type="http://schemas.openxmlformats.org/officeDocument/2006/relationships/pivotCacheDefinition" Target="pivotCache/pivotCacheDefinition29.xml"/><Relationship Id="rId10" Type="http://schemas.openxmlformats.org/officeDocument/2006/relationships/worksheet" Target="worksheets/sheet6.xml"/><Relationship Id="rId98" Type="http://schemas.openxmlformats.org/officeDocument/2006/relationships/pivotCacheDefinition" Target="pivotCache/pivotCacheDefinition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pivotCacheDefinition" Target="pivotCache/pivotCacheDefinition21.xml"/><Relationship Id="rId90" Type="http://schemas.openxmlformats.org/officeDocument/2006/relationships/pivotCacheDefinition" Target="pivotCache/pivotCacheDefinition20.xml"/><Relationship Id="rId93" Type="http://schemas.openxmlformats.org/officeDocument/2006/relationships/pivotCacheDefinition" Target="pivotCache/pivotCacheDefinition23.xml"/><Relationship Id="rId92" Type="http://schemas.openxmlformats.org/officeDocument/2006/relationships/pivotCacheDefinition" Target="pivotCache/pivotCacheDefinition2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84" Type="http://schemas.openxmlformats.org/officeDocument/2006/relationships/pivotCacheDefinition" Target="pivotCache/pivotCacheDefinition14.xml"/><Relationship Id="rId83" Type="http://schemas.openxmlformats.org/officeDocument/2006/relationships/pivotCacheDefinition" Target="pivotCache/pivotCacheDefinition13.xml"/><Relationship Id="rId86" Type="http://schemas.openxmlformats.org/officeDocument/2006/relationships/pivotCacheDefinition" Target="pivotCache/pivotCacheDefinition16.xml"/><Relationship Id="rId85" Type="http://schemas.openxmlformats.org/officeDocument/2006/relationships/pivotCacheDefinition" Target="pivotCache/pivotCacheDefinition15.xml"/><Relationship Id="rId88" Type="http://schemas.openxmlformats.org/officeDocument/2006/relationships/pivotCacheDefinition" Target="pivotCache/pivotCacheDefinition18.xml"/><Relationship Id="rId87" Type="http://schemas.openxmlformats.org/officeDocument/2006/relationships/pivotCacheDefinition" Target="pivotCache/pivotCacheDefinition17.xml"/><Relationship Id="rId89" Type="http://schemas.openxmlformats.org/officeDocument/2006/relationships/pivotCacheDefinition" Target="pivotCache/pivotCacheDefinition19.xml"/><Relationship Id="rId80" Type="http://schemas.openxmlformats.org/officeDocument/2006/relationships/pivotCacheDefinition" Target="pivotCache/pivotCacheDefinition10.xml"/><Relationship Id="rId82" Type="http://schemas.openxmlformats.org/officeDocument/2006/relationships/pivotCacheDefinition" Target="pivotCache/pivotCacheDefinition12.xml"/><Relationship Id="rId81" Type="http://schemas.openxmlformats.org/officeDocument/2006/relationships/pivotCacheDefinition" Target="pivotCache/pivotCacheDefinition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pivotCacheDefinition" Target="pivotCache/pivotCacheDefinition3.xml"/><Relationship Id="rId72" Type="http://schemas.openxmlformats.org/officeDocument/2006/relationships/pivotCacheDefinition" Target="pivotCache/pivotCacheDefinition2.xml"/><Relationship Id="rId75" Type="http://schemas.openxmlformats.org/officeDocument/2006/relationships/pivotCacheDefinition" Target="pivotCache/pivotCacheDefinition5.xml"/><Relationship Id="rId74" Type="http://schemas.openxmlformats.org/officeDocument/2006/relationships/pivotCacheDefinition" Target="pivotCache/pivotCacheDefinition4.xml"/><Relationship Id="rId77" Type="http://schemas.openxmlformats.org/officeDocument/2006/relationships/pivotCacheDefinition" Target="pivotCache/pivotCacheDefinition7.xml"/><Relationship Id="rId76" Type="http://schemas.openxmlformats.org/officeDocument/2006/relationships/pivotCacheDefinition" Target="pivotCache/pivotCacheDefinition6.xml"/><Relationship Id="rId79" Type="http://schemas.openxmlformats.org/officeDocument/2006/relationships/pivotCacheDefinition" Target="pivotCache/pivotCacheDefinition9.xml"/><Relationship Id="rId78" Type="http://schemas.openxmlformats.org/officeDocument/2006/relationships/pivotCacheDefinition" Target="pivotCache/pivotCacheDefinition8.xml"/><Relationship Id="rId71" Type="http://schemas.openxmlformats.org/officeDocument/2006/relationships/pivotCacheDefinition" Target="pivotCache/pivotCacheDefinition1.xml"/><Relationship Id="rId70" Type="http://schemas.openxmlformats.org/officeDocument/2006/relationships/worksheet" Target="worksheets/sheet66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wydatki i przychody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Zbiorczy!$B$1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Zbiorczy!$A$2:$A$90</c:f>
            </c:strRef>
          </c:cat>
          <c:val>
            <c:numRef>
              <c:f>Zbiorczy!$B$2:$B$90</c:f>
              <c:numCache/>
            </c:numRef>
          </c:val>
        </c:ser>
        <c:ser>
          <c:idx val="1"/>
          <c:order val="1"/>
          <c:tx>
            <c:strRef>
              <c:f>Zbiorczy!$C$1</c:f>
            </c:strRef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Zbiorczy!$A$2:$A$90</c:f>
            </c:strRef>
          </c:cat>
          <c:val>
            <c:numRef>
              <c:f>Zbiorczy!$C$2:$C$90</c:f>
              <c:numCache/>
            </c:numRef>
          </c:val>
        </c:ser>
        <c:axId val="1650250506"/>
        <c:axId val="1914236192"/>
      </c:barChart>
      <c:lineChart>
        <c:varyColors val="0"/>
        <c:ser>
          <c:idx val="2"/>
          <c:order val="2"/>
          <c:tx>
            <c:strRef>
              <c:f>Zbiorczy!$D$1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Zbiorczy!$A$2:$A$90</c:f>
            </c:strRef>
          </c:cat>
          <c:val>
            <c:numRef>
              <c:f>Zbiorczy!$D$2:$D$90</c:f>
              <c:numCache/>
            </c:numRef>
          </c:val>
          <c:smooth val="0"/>
        </c:ser>
        <c:axId val="1650250506"/>
        <c:axId val="1914236192"/>
      </c:lineChart>
      <c:catAx>
        <c:axId val="16502505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4236192"/>
      </c:catAx>
      <c:valAx>
        <c:axId val="1914236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2505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zaoszczedzone log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Zbiorczy!$A$2:$A$90</c:f>
            </c:strRef>
          </c:cat>
          <c:val>
            <c:numRef>
              <c:f>Zbiorczy!$N$2:$N$90</c:f>
              <c:numCache/>
            </c:numRef>
          </c:val>
        </c:ser>
        <c:axId val="380670649"/>
        <c:axId val="757440575"/>
      </c:barChart>
      <c:catAx>
        <c:axId val="380670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440575"/>
      </c:catAx>
      <c:valAx>
        <c:axId val="757440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zaoszczedzone log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670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Relationship Id="rId3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</xdr:row>
      <xdr:rowOff>19050</xdr:rowOff>
    </xdr:from>
    <xdr:ext cx="9953625" cy="6153150"/>
    <xdr:graphicFrame>
      <xdr:nvGraphicFramePr>
        <xdr:cNvPr id="1" name="Chart 1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962025</xdr:colOff>
      <xdr:row>31</xdr:row>
      <xdr:rowOff>76200</xdr:rowOff>
    </xdr:from>
    <xdr:ext cx="9953625" cy="6153150"/>
    <xdr:pic>
      <xdr:nvPicPr>
        <xdr:cNvPr id="7237428" name="Chart2" title="Wykres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61</xdr:row>
      <xdr:rowOff>133350</xdr:rowOff>
    </xdr:from>
    <xdr:ext cx="9953625" cy="6153150"/>
    <xdr:graphicFrame>
      <xdr:nvGraphicFramePr>
        <xdr:cNvPr id="3" name="Chart 3" title="Wykr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1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0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pazdziernik2025"/>
  </cacheSource>
  <cacheFields>
    <cacheField name="kategoria" numFmtId="0">
      <sharedItems containsBlank="1">
        <m/>
        <s v="przejazdy"/>
        <s v="biedronka"/>
        <s v="biuro"/>
        <s v="fun"/>
        <s v="kawa"/>
        <s v="żabka"/>
        <s v="auto"/>
        <s v="rossman"/>
        <s v="lekarz"/>
        <s v="mieszkanie"/>
      </sharedItems>
    </cacheField>
    <cacheField name="kwota" numFmtId="0">
      <sharedItems containsString="0" containsBlank="1" containsNumber="1">
        <m/>
        <n v="5.0"/>
        <n v="15.48"/>
        <n v="26.0"/>
        <n v="18.9"/>
        <n v="129.99"/>
        <n v="4.5"/>
        <n v="25.0"/>
        <n v="75.0"/>
        <n v="18.0"/>
        <n v="20.99"/>
        <n v="6.0"/>
        <n v="54.85"/>
        <n v="23.18"/>
        <n v="73.67"/>
        <n v="16.97"/>
        <n v="238.0"/>
        <n v="53.86"/>
        <n v="88.8"/>
        <n v="250.0"/>
        <n v="500.0"/>
        <n v="224.0"/>
        <n v="43.0"/>
        <n v="400.0"/>
        <n v="88.0"/>
        <n v="301.66"/>
        <n v="800.0"/>
        <n v="59.99"/>
        <n v="65.34"/>
        <n v="1280.0"/>
        <n v="363.0"/>
        <n v="124.92"/>
        <n v="9.0"/>
        <n v="59.4"/>
        <n v="82.29"/>
        <n v="253.5"/>
        <n v="2239.7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wrzesien2025"/>
  </cacheSource>
  <cacheFields>
    <cacheField name="kategoria" numFmtId="0">
      <sharedItems containsBlank="1">
        <s v="kawa"/>
        <s v="mieszkanie"/>
        <s v="przejazdy"/>
        <s v="restauracje"/>
        <s v="biedronka"/>
        <s v="auto"/>
        <s v="żabka"/>
        <s v="fun"/>
        <s v="rossman"/>
        <s v="biuro"/>
        <s v="lekarz"/>
        <s v="apteka"/>
        <s v="paliwo"/>
        <s v="ZUS"/>
        <s v="PIT36"/>
        <s v="VAT"/>
        <m/>
      </sharedItems>
    </cacheField>
    <cacheField name="kwota" numFmtId="0">
      <sharedItems containsString="0" containsBlank="1" containsNumber="1">
        <n v="23.9"/>
        <n v="36.0"/>
        <n v="320.0"/>
        <n v="5.0"/>
        <n v="33.0"/>
        <n v="22.0"/>
        <n v="59.98"/>
        <n v="376.72"/>
        <n v="51.0"/>
        <n v="4.5"/>
        <n v="129.0"/>
        <n v="7.49"/>
        <n v="18.0"/>
        <n v="24.0"/>
        <n v="32.0"/>
        <n v="17.48"/>
        <n v="3.4"/>
        <n v="192.36"/>
        <n v="35.0"/>
        <n v="69.0"/>
        <n v="154.99"/>
        <n v="6.7"/>
        <n v="39.98"/>
        <n v="4.0"/>
        <n v="40.0"/>
        <n v="27.49"/>
        <n v="250.0"/>
        <n v="149.99"/>
        <n v="6.98"/>
        <n v="26.0"/>
        <n v="14.99"/>
        <n v="10.99"/>
        <n v="94.0"/>
        <n v="73.0"/>
        <n v="5.5"/>
        <n v="25.0"/>
        <n v="41.0"/>
        <n v="14.1"/>
        <n v="43.98"/>
        <n v="38.0"/>
        <n v="220.99"/>
        <n v="13.5"/>
        <n v="13.98"/>
        <n v="7.3"/>
        <n v="32.95"/>
        <n v="103.5"/>
        <n v="668.0"/>
        <n v="10.0"/>
        <n v="275.0"/>
        <n v="51.99"/>
        <n v="98.0"/>
        <n v="88.39"/>
        <n v="15.5"/>
        <n v="33.97"/>
        <n v="22.97"/>
        <n v="4.49"/>
        <n v="90.0"/>
        <n v="21.49"/>
        <n v="59.99"/>
        <n v="35.24"/>
        <n v="375.0"/>
        <n v="1280.0"/>
        <n v="363.0"/>
        <n v="9.45"/>
        <n v="99.58"/>
        <n v="30.0"/>
        <n v="159.0"/>
        <n v="18.59"/>
        <n v="20.0"/>
        <n v="204.0"/>
        <n v="1592.0"/>
        <n v="229.58"/>
        <n v="360.0"/>
        <n v="381.87"/>
        <n v="209.28"/>
        <n v="152.27"/>
        <n v="260.0"/>
        <n v="1099.0"/>
        <n v="3213.25"/>
        <n v="12.0"/>
        <n v="3268.0"/>
        <n v="5619.0"/>
        <n v="224.51"/>
        <n v="264.39"/>
        <n v="2252.71"/>
        <n v="82.29"/>
        <n v="247.1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sierpien2025"/>
  </cacheSource>
  <cacheFields>
    <cacheField name="kategoria" numFmtId="0">
      <sharedItems containsBlank="1">
        <m/>
        <s v="auto"/>
        <s v="restauracje"/>
        <s v="biedronka"/>
        <s v="paliwo"/>
        <s v="mieszkanie"/>
        <s v="żabka"/>
        <s v="apteka"/>
        <s v="lekarz"/>
        <s v="krypto"/>
        <s v="przejazdy"/>
        <s v="fun"/>
        <s v="PIT36"/>
        <s v="biuro"/>
        <s v="inwestycje"/>
        <s v="rossman"/>
        <s v="VAT"/>
        <s v="ZUS"/>
      </sharedItems>
    </cacheField>
    <cacheField name="kwota" numFmtId="0">
      <sharedItems containsString="0" containsBlank="1" containsNumber="1">
        <m/>
        <n v="17.6"/>
        <n v="33.3"/>
        <n v="4.5"/>
        <n v="1330.0"/>
        <n v="2.99"/>
        <n v="43.93"/>
        <n v="25.49"/>
        <n v="250.0"/>
        <n v="450.0"/>
        <n v="19.98"/>
        <n v="12.0"/>
        <n v="257.0"/>
        <n v="4.0"/>
        <n v="38.0"/>
        <n v="5.0"/>
        <n v="32.0"/>
        <n v="2.5"/>
        <n v="50.0"/>
        <n v="24.0"/>
        <n v="9.99"/>
        <n v="123.96"/>
        <n v="32.78"/>
        <n v="49.0"/>
        <n v="326.27"/>
        <n v="293.0"/>
        <n v="10.99"/>
        <n v="14.99"/>
        <n v="44.0"/>
        <n v="111.0"/>
        <n v="1.0"/>
        <n v="132.78"/>
        <n v="64.0"/>
        <n v="9.2"/>
        <n v="220.0"/>
        <n v="103.5"/>
        <n v="2450.0"/>
        <n v="15.18"/>
        <n v="55.59"/>
        <n v="2200.0"/>
        <n v="104.0"/>
        <n v="151.47"/>
        <n v="200.0"/>
        <n v="87.04"/>
        <n v="409.08"/>
        <n v="125.0"/>
        <n v="22.0"/>
        <n v="99.99"/>
        <n v="1280.0"/>
        <n v="59.99"/>
        <n v="180.99"/>
        <n v="21.98"/>
        <n v="46.0"/>
        <n v="363.0"/>
        <n v="106.22"/>
        <n v="222.5"/>
        <n v="35.97"/>
        <n v="550.0"/>
        <n v="500.0"/>
        <n v="260.46"/>
        <n v="381.87"/>
        <n v="229.58"/>
        <n v="206.78"/>
        <n v="350.01"/>
        <n v="177.02"/>
        <n v="5176.0"/>
        <n v="3153.0"/>
        <n v="99.52"/>
        <n v="170.1"/>
        <n v="2274.5"/>
        <n v="246.0"/>
        <n v="3213.25"/>
        <n v="82.29"/>
        <n v="206.44"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lipiec2025"/>
  </cacheSource>
  <cacheFields>
    <cacheField name="kategoria" numFmtId="0">
      <sharedItems containsBlank="1">
        <s v="biedronka"/>
        <s v="fun"/>
        <s v="restauracje"/>
        <s v="ubrania"/>
        <s v="biuro"/>
        <s v="mieszkanie"/>
        <s v="lekarz"/>
        <s v="żabka"/>
        <s v="kawa"/>
        <s v="apteka"/>
        <s v="rossman"/>
        <s v="przejazdy"/>
        <s v="auto"/>
        <s v="paliwo"/>
        <s v="VAT"/>
        <s v="PIT36"/>
        <s v="telefon"/>
        <s v="ZUS"/>
        <m/>
      </sharedItems>
    </cacheField>
    <cacheField name="kwota" numFmtId="0">
      <sharedItems containsString="0" containsBlank="1" containsNumber="1">
        <n v="35.08"/>
        <n v="4.5"/>
        <n v="500.0"/>
        <n v="22.0"/>
        <n v="1199.98"/>
        <n v="77.86"/>
        <n v="20.0"/>
        <n v="39.99"/>
        <n v="235.0"/>
        <n v="250.0"/>
        <n v="19.49"/>
        <n v="15.3"/>
        <n v="59.98"/>
        <n v="15.25"/>
        <n v="10.1"/>
        <n v="5.0"/>
        <n v="87.49"/>
        <n v="14.99"/>
        <n v="18.99"/>
        <n v="10.0"/>
        <n v="99.99"/>
        <n v="15.54"/>
        <n v="44.0"/>
        <n v="48.93"/>
        <n v="22.9"/>
        <n v="1786.83"/>
        <n v="10.25"/>
        <n v="7.0"/>
        <n v="56.0"/>
        <n v="70.0"/>
        <n v="9.98"/>
        <n v="54.0"/>
        <n v="66.0"/>
        <n v="700.0"/>
        <n v="137.1"/>
        <n v="76.93"/>
        <n v="50.0"/>
        <n v="79.0"/>
        <n v="8.4"/>
        <n v="350.0"/>
        <n v="34.9"/>
        <n v="9.99"/>
        <n v="731.2"/>
        <n v="24.99"/>
        <n v="1000.0"/>
        <n v="103.5"/>
        <n v="17.3"/>
        <n v="29.99"/>
        <n v="71.12"/>
        <n v="400.0"/>
        <n v="22.92"/>
        <n v="31.9"/>
        <n v="72.09"/>
        <n v="2117.0"/>
        <n v="4.0"/>
        <n v="1925.82"/>
        <n v="34.8"/>
        <n v="6.9"/>
        <n v="31.0"/>
        <n v="59.99"/>
        <n v="639.57"/>
        <n v="28.53"/>
        <n v="363.0"/>
        <n v="8.79"/>
        <n v="5730.0"/>
        <n v="3769.0"/>
        <n v="230.33"/>
        <n v="160.0"/>
        <n v="2194.0"/>
        <n v="132.9"/>
        <n v="82.29"/>
        <n v="247.24"/>
        <n v="12.0"/>
        <n v="92.0"/>
        <n v="230.0"/>
        <n v="3213.25"/>
        <n v="2286.78"/>
        <n v="381.0"/>
        <m/>
        <n v="47.0"/>
        <n v="8.5"/>
        <n v="64.82"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czerwiec2025"/>
  </cacheSource>
  <cacheFields>
    <cacheField name="kategoria" numFmtId="0">
      <sharedItems containsBlank="1">
        <s v="biuro"/>
        <s v="biedronka"/>
        <s v="restauracje"/>
        <s v="przejazdy"/>
        <s v="żabka"/>
        <s v="kawa"/>
        <s v="fun"/>
        <s v="apteka"/>
        <s v="lekarz"/>
        <s v="auto"/>
        <s v="mieszkanie"/>
        <s v="paliwo"/>
        <s v="ZUS"/>
        <s v="PIT36"/>
        <s v="VAT"/>
        <m/>
      </sharedItems>
    </cacheField>
    <cacheField name="kwota" numFmtId="0">
      <sharedItems containsString="0" containsBlank="1" containsNumber="1">
        <n v="5.0"/>
        <n v="6.0"/>
        <n v="91.09"/>
        <n v="41.31"/>
        <n v="70.0"/>
        <n v="19.0"/>
        <n v="149.0"/>
        <n v="4.5"/>
        <n v="20.0"/>
        <n v="170.0"/>
        <n v="24.3"/>
        <n v="17.49"/>
        <n v="48.0"/>
        <n v="50.0"/>
        <n v="50.49"/>
        <n v="9.99"/>
        <n v="32.0"/>
        <n v="25.28"/>
        <n v="45.0"/>
        <n v="25.97"/>
        <n v="23.8"/>
        <n v="338.55"/>
        <n v="250.0"/>
        <n v="280.0"/>
        <n v="2.0"/>
        <n v="54.45"/>
        <n v="4.0"/>
        <n v="115.0"/>
        <n v="149.56"/>
        <n v="49.77"/>
        <n v="65.0"/>
        <n v="24.99"/>
        <n v="27.22"/>
        <n v="14.99"/>
        <n v="53.55"/>
        <n v="44.0"/>
        <n v="109.99"/>
        <n v="24.9"/>
        <n v="103.5"/>
        <n v="268.43"/>
        <n v="202.5"/>
        <n v="37.0"/>
        <n v="4.2"/>
        <n v="75.0"/>
        <n v="42.0"/>
        <n v="63.0"/>
        <n v="8.99"/>
        <n v="21.63"/>
        <n v="300.0"/>
        <n v="206.0"/>
        <n v="16.08"/>
        <n v="19.49"/>
        <n v="1100.0"/>
        <n v="12.99"/>
        <n v="133.98"/>
        <n v="158.12"/>
        <n v="363.0"/>
        <n v="350.0"/>
        <n v="14.0"/>
        <n v="1400.0"/>
        <n v="30.0"/>
        <n v="109.5"/>
        <n v="54.0"/>
        <n v="40.0"/>
        <n v="118.91"/>
        <n v="301.17"/>
        <n v="11.9"/>
        <n v="82.0"/>
        <n v="15.1"/>
        <n v="32.9"/>
        <n v="381.87"/>
        <n v="212.11"/>
        <n v="203.3"/>
        <n v="450.0"/>
        <n v="148.0"/>
        <n v="164.16"/>
        <n v="260.25"/>
        <n v="3213.25"/>
        <n v="12.0"/>
        <n v="6306.0"/>
        <n v="3881.0"/>
        <n v="68.69"/>
        <n v="2298.27"/>
        <n v="82.29"/>
        <n v="246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97" sheet="maj2025"/>
  </cacheSource>
  <cacheFields>
    <cacheField name="kategoria" numFmtId="0">
      <sharedItems containsBlank="1">
        <s v="lekarz"/>
        <s v="auto"/>
        <s v="restauracje"/>
        <s v="rossman"/>
        <s v="żabka"/>
        <s v="biedronka"/>
        <s v="apteka"/>
        <s v="fun"/>
        <s v="prezenty"/>
        <s v="przejazdy"/>
        <s v="biuro"/>
        <s v="mieszkanie"/>
        <s v="paliwo"/>
        <s v="PIT36"/>
        <s v="VAT"/>
        <s v="ZUS"/>
        <m/>
      </sharedItems>
    </cacheField>
    <cacheField name="kwota" numFmtId="0">
      <sharedItems containsString="0" containsBlank="1" containsNumber="1">
        <n v="1560.0"/>
        <n v="3.5"/>
        <n v="31.0"/>
        <n v="22.99"/>
        <n v="19.0"/>
        <n v="2.0"/>
        <n v="5.5"/>
        <n v="28.58"/>
        <n v="2.99"/>
        <n v="24.99"/>
        <n v="49.22"/>
        <n v="250.0"/>
        <n v="28.0"/>
        <n v="12.37"/>
        <n v="5.0"/>
        <n v="255.99"/>
        <n v="4.0"/>
        <n v="60.0"/>
        <n v="200.0"/>
        <n v="27.01"/>
        <n v="15.0"/>
        <n v="72.6"/>
        <n v="28.06"/>
        <n v="59.55"/>
        <n v="46.99"/>
        <n v="65.0"/>
        <n v="119.11"/>
        <n v="14.99"/>
        <n v="76.95"/>
        <n v="7.49"/>
        <n v="45.24"/>
        <n v="25.0"/>
        <n v="57.81"/>
        <n v="379.0"/>
        <n v="22.0"/>
        <n v="17.98"/>
        <n v="99.9"/>
        <n v="344.0"/>
        <n v="186.98"/>
        <n v="10.0"/>
        <n v="19.9"/>
        <n v="3.7"/>
        <n v="168.58"/>
        <n v="800.0"/>
        <n v="142.51"/>
        <n v="4.5"/>
        <n v="129.98"/>
        <n v="27.86"/>
        <n v="148.39"/>
        <n v="31.49"/>
        <n v="1280.0"/>
        <n v="16.0"/>
        <n v="57.02"/>
        <n v="425.77"/>
        <n v="63.28"/>
        <n v="287.0"/>
        <n v="46.09"/>
        <n v="150.48"/>
        <n v="3.47"/>
        <n v="429.28"/>
        <n v="25.98"/>
        <n v="363.0"/>
        <n v="65.15"/>
        <n v="278.99"/>
        <n v="500.0"/>
        <n v="202.13"/>
        <n v="203.99"/>
        <n v="142.38"/>
        <n v="197.8"/>
        <n v="2444.0"/>
        <n v="3373.0"/>
        <n v="12.0"/>
        <n v="3213.27"/>
        <n v="82.29"/>
        <n v="258.92"/>
        <n v="2326.74"/>
        <n v="124.01"/>
        <n v="381.87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5" sheet="kwiecien2025"/>
  </cacheSource>
  <cacheFields>
    <cacheField name="kategoria" numFmtId="0">
      <sharedItems containsBlank="1">
        <s v="żabka"/>
        <s v="lekarz"/>
        <s v="kawa"/>
        <s v="inwestycje"/>
        <s v="biedronka"/>
        <s v="fun"/>
        <s v="auto"/>
        <s v="przejazdy"/>
        <s v="mieszkanie"/>
        <s v="restauracje"/>
        <s v="ubrania"/>
        <s v="biuro"/>
        <s v="paliwo"/>
        <s v="VAT"/>
        <s v="PIT36"/>
        <s v="ZUS"/>
        <m/>
      </sharedItems>
    </cacheField>
    <cacheField name="kwota" numFmtId="0">
      <sharedItems containsString="0" containsBlank="1" containsNumber="1">
        <n v="4.5"/>
        <n v="200.0"/>
        <n v="174.0"/>
        <n v="2000.0"/>
        <n v="3000.0"/>
        <n v="13.69"/>
        <n v="21.5"/>
        <n v="19.98"/>
        <n v="16.0"/>
        <n v="321.18"/>
        <n v="4.0"/>
        <n v="678.0"/>
        <n v="159.0"/>
        <n v="36.74"/>
        <n v="7.49"/>
        <n v="52.6"/>
        <n v="77.96"/>
        <n v="500.0"/>
        <n v="170.0"/>
        <n v="69.39"/>
        <n v="4.37"/>
        <n v="240.58"/>
        <n v="6.0"/>
        <n v="97.0"/>
        <n v="9.0"/>
        <n v="5.0"/>
        <n v="6.2"/>
        <n v="16.99"/>
        <n v="18.99"/>
        <n v="30.0"/>
        <n v="12.0"/>
        <n v="14.99"/>
        <n v="52.94"/>
        <n v="50.56"/>
        <n v="75.0"/>
        <n v="700.0"/>
        <n v="600.0"/>
        <n v="9.64"/>
        <n v="2.0"/>
        <n v="18.97"/>
        <n v="20.0"/>
        <n v="183.74"/>
        <n v="24.0"/>
        <n v="206.36"/>
        <n v="190.2"/>
        <n v="99.9"/>
        <n v="1000.0"/>
        <n v="1280.0"/>
        <n v="193.5"/>
        <n v="34.99"/>
        <n v="27.02"/>
        <n v="363.0"/>
        <n v="117.17"/>
        <n v="188.5"/>
        <n v="24.58"/>
        <n v="276.33"/>
        <n v="79.61"/>
        <n v="104.58"/>
        <n v="2319.0"/>
        <n v="1830.0"/>
        <n v="190.66"/>
        <n v="3213.25"/>
        <n v="242.14"/>
        <n v="82.29"/>
        <n v="258.92"/>
        <n v="2335.7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5" sheet="marzec2025"/>
  </cacheSource>
  <cacheFields>
    <cacheField name="kategoria" numFmtId="0">
      <sharedItems containsBlank="1">
        <m/>
        <s v="fun"/>
        <s v="biuro"/>
        <s v="auto"/>
        <s v="żabka"/>
        <s v="biedronka"/>
        <s v="mieszkanie"/>
        <s v="przejazdy"/>
        <s v="kawa"/>
        <s v="restauracje"/>
        <s v="inwestycje"/>
        <s v="PIT36"/>
        <s v="VAT"/>
        <s v="ZUS"/>
        <s v="paliwo"/>
      </sharedItems>
    </cacheField>
    <cacheField name="kwota" numFmtId="0">
      <sharedItems containsString="0" containsBlank="1" containsNumber="1">
        <m/>
        <n v="1000.0"/>
        <n v="786.33"/>
        <n v="1500.0"/>
        <n v="14.99"/>
        <n v="2000.0"/>
        <n v="64.0"/>
        <n v="500.0"/>
        <n v="5.49"/>
        <n v="30.39"/>
        <n v="99.9"/>
        <n v="8.8"/>
        <n v="6.8"/>
        <n v="2.0"/>
        <n v="68.96"/>
        <n v="1.99"/>
        <n v="100.0"/>
        <n v="5.0"/>
        <n v="10.0"/>
        <n v="776.64"/>
        <n v="43.8"/>
        <n v="229.28"/>
        <n v="243.65"/>
        <n v="89.0"/>
        <n v="67.8"/>
        <n v="120.0"/>
        <n v="599.0"/>
        <n v="26.48"/>
        <n v="8.9"/>
        <n v="17.99"/>
        <n v="3000.0"/>
        <n v="6.5"/>
        <n v="200.0"/>
        <n v="280.0"/>
        <n v="4.0"/>
        <n v="35.24"/>
        <n v="12.01"/>
        <n v="363.0"/>
        <n v="45.3"/>
        <n v="1280.0"/>
        <n v="498.0"/>
        <n v="41.45"/>
        <n v="87.56"/>
        <n v="381.87"/>
        <n v="4928.0"/>
        <n v="3134.0"/>
        <n v="12.0"/>
        <n v="3213.25"/>
        <n v="82.29"/>
        <n v="262.74"/>
        <n v="2331.18"/>
        <n v="91.52"/>
        <n v="242.61"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200" sheet="luty2025"/>
  </cacheSource>
  <cacheFields>
    <cacheField name="kategoria" numFmtId="0">
      <sharedItems containsBlank="1">
        <s v="fun"/>
        <s v="lekarz"/>
        <s v="żabka"/>
        <s v="kawa"/>
        <s v="auto"/>
        <s v="przejazdy"/>
        <s v="biedronka"/>
        <s v="rossman"/>
        <s v="biuro"/>
        <s v="prezenty"/>
        <s v="taxi"/>
        <s v="apteka"/>
        <s v="mieszkanie"/>
        <s v="ubrania"/>
        <s v="paliwo"/>
        <s v="PIT36"/>
        <s v="VAT"/>
        <s v="ZUS"/>
        <m/>
      </sharedItems>
    </cacheField>
    <cacheField name="kwota" numFmtId="164">
      <sharedItems containsString="0" containsBlank="1" containsNumber="1">
        <n v="71.5"/>
        <n v="81.5"/>
        <n v="200.0"/>
        <n v="16.69"/>
        <n v="46.99"/>
        <n v="64.0"/>
        <n v="2.49"/>
        <n v="30.0"/>
        <n v="680.13"/>
        <n v="4.0"/>
        <n v="75.0"/>
        <n v="17.49"/>
        <n v="425.25"/>
        <n v="37.8"/>
        <n v="24.9"/>
        <n v="31.8"/>
        <n v="45.0"/>
        <n v="39.0"/>
        <n v="56.0"/>
        <n v="37.0"/>
        <n v="15.18"/>
        <n v="6.4"/>
        <n v="10.5"/>
        <n v="21.9"/>
        <n v="14.99"/>
        <n v="11.99"/>
        <n v="25.88"/>
        <n v="108.0"/>
        <n v="28.68"/>
        <n v="13.49"/>
        <n v="5.0"/>
        <n v="15.9"/>
        <n v="53.97"/>
        <n v="12.15"/>
        <n v="27.0"/>
        <n v="55.33"/>
        <n v="7.99"/>
        <n v="3.0"/>
        <n v="237.21"/>
        <n v="1000.0"/>
        <n v="99.9"/>
        <n v="23.99"/>
        <n v="500.0"/>
        <n v="20.7"/>
        <n v="280.0"/>
        <n v="20.0"/>
        <n v="282.27"/>
        <n v="3.99"/>
        <n v="36.2"/>
        <n v="12.0"/>
        <n v="16.0"/>
        <n v="1500.0"/>
        <n v="1480.0"/>
        <n v="417.0"/>
        <n v="373.0"/>
        <n v="35.0"/>
        <n v="549.0"/>
        <n v="317.19"/>
        <n v="1181.39"/>
        <n v="1366.12"/>
        <n v="653.06"/>
        <n v="4.5"/>
        <n v="469.99"/>
        <n v="1014.19"/>
        <n v="221.59"/>
        <n v="185.2"/>
        <n v="3980.0"/>
        <n v="6088.0"/>
        <n v="34.16"/>
        <n v="251.43"/>
        <n v="250.6"/>
        <n v="3213.25"/>
        <n v="186.86"/>
        <n v="210.23"/>
        <n v="50.0"/>
        <n v="279.0"/>
        <n v="178.34"/>
        <n v="202.06"/>
        <n v="82.29"/>
        <n v="246.0"/>
        <n v="2330.28"/>
        <m/>
      </sharedItems>
    </cacheField>
  </cacheFields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5" sheet="styczen2025"/>
  </cacheSource>
  <cacheFields>
    <cacheField name="kategoria" numFmtId="0">
      <sharedItems containsBlank="1">
        <s v="biuro"/>
        <s v="paliwo"/>
        <s v="VAT"/>
        <s v="PIT36"/>
        <s v="fun"/>
        <s v="ZUS"/>
        <s v="przejazdy"/>
        <s v="auto"/>
        <s v="kawa"/>
        <s v="żabka"/>
        <s v="lekarz"/>
        <s v="rossman"/>
        <s v="mieszkanie"/>
        <s v="prezenty"/>
        <s v="apteka"/>
        <s v="biedronka"/>
        <m/>
      </sharedItems>
    </cacheField>
    <cacheField name="kwota" numFmtId="164">
      <sharedItems containsString="0" containsBlank="1" containsNumber="1">
        <n v="347.16"/>
        <n v="251.16"/>
        <n v="197.1"/>
        <n v="5062.0"/>
        <n v="3164.0"/>
        <n v="870.0"/>
        <n v="12.0"/>
        <n v="1312.71"/>
        <n v="70.0"/>
        <n v="82.29"/>
        <n v="2329.37"/>
        <n v="104.2"/>
        <n v="15.0"/>
        <n v="199.0"/>
        <n v="7.9"/>
        <n v="130.0"/>
        <n v="4.5"/>
        <n v="1300.0"/>
        <n v="500.0"/>
        <n v="54.75"/>
        <n v="200.0"/>
        <n v="400.0"/>
        <n v="64.48"/>
        <n v="5.0"/>
        <n v="2.0"/>
        <n v="103.72"/>
        <n v="64.0"/>
        <n v="35.99"/>
        <n v="4.0"/>
        <n v="62.0"/>
        <n v="9.49"/>
        <n v="59.78"/>
        <n v="107.89"/>
        <n v="600.0"/>
        <n v="39.0"/>
        <n v="29.9"/>
        <n v="14.99"/>
        <n v="31.99"/>
        <n v="99.9"/>
        <n v="186.78"/>
        <n v="239.99"/>
        <n v="3865.0"/>
        <n v="168.49"/>
        <n v="180.18"/>
        <n v="46.18"/>
        <n v="60.9"/>
        <n v="261.89"/>
        <n v="3.0"/>
        <n v="1000.0"/>
        <n v="85.0"/>
        <n v="206.47"/>
        <n v="1480.0"/>
        <n v="25.0"/>
        <n v="93.0"/>
        <n v="152.96"/>
        <n v="11.9"/>
        <n v="350.0"/>
        <n v="94.0"/>
        <n v="9.88"/>
        <n v="16.5"/>
        <n v="8.1"/>
        <m/>
      </sharedItems>
    </cacheField>
  </cacheFields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5" sheet="grudzien2024"/>
  </cacheSource>
  <cacheFields>
    <cacheField name="kategoria" numFmtId="0">
      <sharedItems>
        <s v="auto"/>
        <s v="mieszkanie"/>
        <s v="fun"/>
        <s v="lekarz"/>
        <s v="przejazdy"/>
        <s v="biuro"/>
        <s v="biedronka"/>
        <s v="rossman"/>
        <s v="inwestycje"/>
        <s v="żabka"/>
        <s v="prezenty"/>
        <s v="ubrania"/>
        <s v="apteka"/>
        <s v="paliwo"/>
        <s v="ZUS"/>
        <s v="PIT36"/>
        <s v="VAT"/>
      </sharedItems>
    </cacheField>
    <cacheField name="kwota" numFmtId="164">
      <sharedItems containsSemiMixedTypes="0" containsString="0" containsNumber="1">
        <n v="4763.0"/>
        <n v="1480.0"/>
        <n v="177.0"/>
        <n v="350.0"/>
        <n v="200.0"/>
        <n v="105.0"/>
        <n v="228.0"/>
        <n v="83.0"/>
        <n v="2328.0"/>
        <n v="120.0"/>
        <n v="154.9"/>
        <n v="90.25"/>
        <n v="4.0"/>
        <n v="19.5"/>
        <n v="5.0"/>
        <n v="6.99"/>
        <n v="28.0"/>
        <n v="19.99"/>
        <n v="2.0"/>
        <n v="85.0"/>
        <n v="10.98"/>
        <n v="35.97"/>
        <n v="94.81"/>
        <n v="34.66"/>
        <n v="18.08"/>
        <n v="650.0"/>
        <n v="3000.0"/>
        <n v="9.99"/>
        <n v="7.32"/>
        <n v="7.0"/>
        <n v="16.0"/>
        <n v="173.0"/>
        <n v="14.99"/>
        <n v="44.0"/>
        <n v="214.99"/>
        <n v="24.98"/>
        <n v="599.0"/>
        <n v="26.75"/>
        <n v="179.9"/>
        <n v="36.0"/>
        <n v="44.7"/>
        <n v="10.59"/>
        <n v="34.0"/>
        <n v="3.4"/>
        <n v="206.97"/>
        <n v="4000.0"/>
        <n v="54.9"/>
        <n v="99.9"/>
        <n v="122.0"/>
        <n v="38.0"/>
        <n v="597.08"/>
        <n v="29.47"/>
        <n v="114.0"/>
        <n v="74.55"/>
        <n v="47.99"/>
        <n v="240.0"/>
        <n v="9.98"/>
        <n v="21.38"/>
        <n v="14.49"/>
        <n v="81.48"/>
        <n v="525.0"/>
        <n v="17.98"/>
        <n v="600.0"/>
        <n v="98.22"/>
        <n v="14.92"/>
        <n v="347.16"/>
        <n v="76.0"/>
        <n v="218.89"/>
        <n v="238.38"/>
        <n v="2913.03"/>
        <n v="12.0"/>
        <n v="5477.0"/>
        <n v="3295.0"/>
        <n v="400.0"/>
        <n v="99.0"/>
        <n v="82.29"/>
      </sharedItems>
    </cacheField>
  </cacheFields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listopad2024"/>
  </cacheSource>
  <cacheFields>
    <cacheField name="kategoria" numFmtId="0">
      <sharedItems containsBlank="1">
        <s v="fun"/>
        <s v="biuro"/>
        <s v="przejazdy"/>
        <s v="auto"/>
        <s v="paliwo"/>
        <s v="biedronka"/>
        <s v="żabka"/>
        <s v="mieszkanie"/>
        <s v="ubrania"/>
        <s v="lekarz"/>
        <s v="zus"/>
        <s v="apteka"/>
        <s v="vat"/>
        <s v="PIT36"/>
        <s v="taxi"/>
        <s v="kawa"/>
        <s v="rossman"/>
        <m/>
      </sharedItems>
    </cacheField>
    <cacheField name="kwota" numFmtId="164">
      <sharedItems containsString="0" containsBlank="1" containsNumber="1">
        <n v="8200.0"/>
        <n v="2000.0"/>
        <n v="300.0"/>
        <n v="83.0"/>
        <n v="230.0"/>
        <n v="2325.0"/>
        <n v="76.0"/>
        <n v="100.0"/>
        <n v="113.0"/>
        <n v="20.0"/>
        <n v="8.0"/>
        <n v="16.0"/>
        <n v="10.0"/>
        <n v="258.0"/>
        <n v="600.0"/>
        <n v="200.0"/>
        <n v="9.0"/>
        <n v="350.0"/>
        <n v="40.0"/>
        <n v="1500.0"/>
        <n v="5.0"/>
        <n v="67.0"/>
        <n v="136.0"/>
        <n v="130.0"/>
        <n v="250.0"/>
        <n v="3000.0"/>
        <n v="6117.0"/>
        <n v="4072.0"/>
        <n v="227.0"/>
        <n v="120.0"/>
        <n v="11.5"/>
        <n v="185.0"/>
        <n v="63.0"/>
        <n v="69.0"/>
        <n v="257.0"/>
        <n v="53.0"/>
        <n v="50.0"/>
        <n v="7.0"/>
        <n v="800.0"/>
        <n v="23.0"/>
        <n v="4.0"/>
        <n v="15.0"/>
        <n v="71.0"/>
        <n v="26.0"/>
        <n v="36.0"/>
        <n v="25.0"/>
        <n v="13.0"/>
        <n v="156.0"/>
        <n v="249.0"/>
        <n v="178.0"/>
        <n v="135.0"/>
        <n v="400.0"/>
        <n v="140.0"/>
        <m/>
      </sharedItems>
    </cacheField>
  </cacheFields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pazdziernik2024"/>
  </cacheSource>
  <cacheFields>
    <cacheField name="kategoria" numFmtId="0">
      <sharedItems containsBlank="1">
        <s v="lekarz"/>
        <s v="fun"/>
        <s v="apteka"/>
        <s v="mieszkanie"/>
        <s v="przejazdy"/>
        <s v="ubrania"/>
        <s v="paliwo"/>
        <s v="biuro"/>
        <s v="auto"/>
        <s v="biedronka"/>
        <s v="żabka"/>
        <s v="rossman"/>
        <s v="kawa"/>
        <s v="ZUS"/>
        <s v="PIT36"/>
        <s v="VAT"/>
        <m/>
      </sharedItems>
    </cacheField>
    <cacheField name="kwota">
      <sharedItems containsBlank="1" containsMixedTypes="1" containsNumber="1" containsInteger="1">
        <n v="860.0"/>
        <n v="600.0"/>
        <n v="67.0"/>
        <n v="1382.0"/>
        <n v="350.0"/>
        <n v="8.0"/>
        <n v="170.0"/>
        <n v="360.0"/>
        <n v="155.0"/>
        <n v="228.0"/>
        <n v="83.0"/>
        <s v="2 326,62"/>
        <n v="3.0"/>
        <n v="200.0"/>
        <n v="6.0"/>
        <n v="12.0"/>
        <n v="625.0"/>
        <n v="38.0"/>
        <n v="30.0"/>
        <n v="17.0"/>
        <n v="78.0"/>
        <n v="44.0"/>
        <n v="140.0"/>
        <n v="110.0"/>
        <n v="208.0"/>
        <n v="3000.0"/>
        <n v="126.0"/>
        <n v="100.0"/>
        <n v="650.0"/>
        <n v="65.0"/>
        <n v="3679.0"/>
        <n v="5602.0"/>
        <n v="250.0"/>
        <n v="180.0"/>
        <n v="1300.0"/>
        <n v="263.0"/>
        <n v="400.0"/>
        <n v="230.0"/>
        <m/>
      </sharedItems>
    </cacheField>
  </cacheFields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wrzesien2024"/>
  </cacheSource>
  <cacheFields>
    <cacheField name="kategoria" numFmtId="0">
      <sharedItems containsBlank="1">
        <s v="mieszkanie"/>
        <s v="biedronka"/>
        <s v="fun"/>
        <s v="rossman"/>
        <s v="ubrania"/>
        <s v="kawa"/>
        <s v="auto"/>
        <s v="biuro"/>
        <s v="lekarz"/>
        <s v="apteka"/>
        <s v="VAT"/>
        <s v="PIT36"/>
        <s v="ZUS"/>
        <s v="paliwo"/>
        <s v="taxi"/>
        <m/>
      </sharedItems>
    </cacheField>
    <cacheField name="kwota">
      <sharedItems containsBlank="1" containsMixedTypes="1" containsNumber="1">
        <n v="1382.0"/>
        <n v="350.0"/>
        <n v="1200.0"/>
        <n v="160.0"/>
        <n v="165.0"/>
        <n v="18.0"/>
        <n v="9.0"/>
        <n v="60.0"/>
        <n v="175.0"/>
        <n v="600.0"/>
        <n v="80.0"/>
        <n v="187.0"/>
        <n v="58.0"/>
        <s v="2 333,17"/>
        <n v="227.55"/>
        <n v="82.0"/>
        <n v="110.0"/>
        <n v="50.0"/>
        <n v="200.0"/>
        <n v="45.0"/>
        <n v="6227.0"/>
        <n v="4131.0"/>
        <n v="3000.0"/>
        <n v="100.0"/>
        <n v="460.0"/>
        <n v="300.0"/>
        <n v="177.0"/>
        <n v="46.0"/>
        <n v="6.0"/>
        <n v="20.0"/>
        <n v="66.0"/>
        <n v="44.0"/>
        <n v="70.0"/>
        <n v="40.0"/>
        <n v="1603.0"/>
        <n v="25.0"/>
        <n v="180.0"/>
        <n v="260.0"/>
        <n v="150.0"/>
        <n v="1676.0"/>
        <m/>
      </sharedItems>
    </cacheField>
  </cacheFields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sierpien2024"/>
  </cacheSource>
  <cacheFields>
    <cacheField name="kategoria" numFmtId="0">
      <sharedItems>
        <s v="biedronka"/>
        <s v="fun"/>
        <s v="kawa"/>
        <s v="mieszkanie"/>
        <s v="rossman"/>
        <s v="ubrania"/>
        <s v="lekarz"/>
        <s v="biuro"/>
        <s v="paliwo"/>
        <s v="auto"/>
        <s v="PIT36"/>
        <s v="VAT"/>
        <s v="ZUS"/>
        <s v="przejazdy"/>
        <s v="taxi"/>
        <s v="żabka"/>
        <s v="apteka"/>
      </sharedItems>
    </cacheField>
    <cacheField name="kwota" numFmtId="164">
      <sharedItems containsSemiMixedTypes="0" containsString="0" containsNumber="1">
        <n v="1000.0"/>
        <n v="54.0"/>
        <n v="173.0"/>
        <n v="170.0"/>
        <n v="200.0"/>
        <n v="37.0"/>
        <n v="28.0"/>
        <n v="80.0"/>
        <n v="100.0"/>
        <n v="10.0"/>
        <n v="350.0"/>
        <n v="1382.0"/>
        <n v="580.0"/>
        <n v="140.0"/>
        <n v="72.0"/>
        <n v="36.0"/>
        <n v="300.0"/>
        <n v="255.0"/>
        <n v="105.0"/>
        <n v="18.0"/>
        <n v="7.0"/>
        <n v="12.0"/>
        <n v="227.0"/>
        <n v="176.0"/>
        <n v="70.0"/>
        <n v="78.0"/>
        <n v="600.0"/>
        <n v="2332.0"/>
        <n v="228.0"/>
        <n v="83.0"/>
        <n v="4159.0"/>
        <n v="6204.0"/>
        <n v="64.0"/>
        <n v="213.0"/>
        <n v="62.0"/>
        <n v="155.0"/>
        <n v="25.0"/>
        <n v="150.0"/>
        <n v="240.0"/>
        <n v="5.0"/>
        <n v="35.0"/>
        <n v="3000.0"/>
        <n v="192.0"/>
        <n v="250.0"/>
        <n v="88.0"/>
        <n v="20.0"/>
        <n v="16.0"/>
        <n v="21.0"/>
        <n v="108.0"/>
        <n v="11.0"/>
        <n v="90.0"/>
        <n v="30.0"/>
        <n v="19.0"/>
        <n v="51.0"/>
        <n v="50.0"/>
        <n v="33.33"/>
        <n v="46.0"/>
        <n v="9.0"/>
        <n v="22.0"/>
        <n v="58.0"/>
        <n v="17.0"/>
        <n v="65.0"/>
        <n v="41.0"/>
        <n v="15.0"/>
        <n v="32.0"/>
        <n v="151.0"/>
        <n v="38.0"/>
        <n v="82.0"/>
        <n v="158.0"/>
      </sharedItems>
    </cacheField>
  </cacheFields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lipiec2024"/>
  </cacheSource>
  <cacheFields>
    <cacheField name="kategoria" numFmtId="0">
      <sharedItems containsBlank="1">
        <s v="biedronka"/>
        <s v="kawa"/>
        <s v="mieszkanie"/>
        <s v="fun"/>
        <s v="auto"/>
        <s v="biuro"/>
        <s v="paliwo"/>
        <s v="VAT"/>
        <s v="PIT36"/>
        <s v="ZUS"/>
        <s v="lekarz"/>
        <s v="żabka"/>
        <s v="rossman"/>
        <s v="taxi"/>
        <s v="apteka"/>
        <s v="ubrania"/>
        <m/>
      </sharedItems>
    </cacheField>
    <cacheField name="kwota" numFmtId="164">
      <sharedItems containsString="0" containsBlank="1" containsNumber="1">
        <n v="70.0"/>
        <n v="192.0"/>
        <n v="1382.0"/>
        <n v="350.0"/>
        <n v="340.0"/>
        <n v="210.0"/>
        <n v="2333.0"/>
        <n v="83.0"/>
        <n v="233.0"/>
        <n v="1000.0"/>
        <n v="200.0"/>
        <n v="100.0"/>
        <n v="500.0"/>
        <n v="160.0"/>
        <n v="330.0"/>
        <n v="167.0"/>
        <n v="17.0"/>
        <n v="89.0"/>
        <n v="600.0"/>
        <n v="93.0"/>
        <n v="8.0"/>
        <n v="136.0"/>
        <n v="237.0"/>
        <n v="120.0"/>
        <n v="76.0"/>
        <n v="5365.0"/>
        <n v="3641.0"/>
        <n v="2913.03"/>
        <n v="2000.0"/>
        <n v="175.0"/>
        <n v="205.0"/>
        <n v="267.0"/>
        <n v="30.0"/>
        <n v="20.0"/>
        <n v="80.0"/>
        <n v="22.0"/>
        <n v="5.0"/>
        <n v="52.0"/>
        <n v="85.0"/>
        <n v="134.0"/>
        <n v="3.0"/>
        <n v="18.0"/>
        <n v="15.0"/>
        <n v="14.0"/>
        <n v="400.0"/>
        <n v="10.0"/>
        <n v="35.0"/>
        <n v="55.0"/>
        <n v="9.0"/>
        <n v="130.0"/>
        <n v="40.0"/>
        <n v="460.0"/>
        <n v="16.0"/>
        <n v="165.0"/>
        <n v="216.0"/>
        <n v="433.0"/>
        <n v="50.0"/>
        <m/>
      </sharedItems>
    </cacheField>
  </cacheFields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czerwiec2024"/>
  </cacheSource>
  <cacheFields>
    <cacheField name="kategoria" numFmtId="0">
      <sharedItems containsBlank="1">
        <s v="biedronka"/>
        <s v="kawa"/>
        <s v="fun"/>
        <s v="biuro"/>
        <s v="mieszkanie"/>
        <s v="żabka"/>
        <s v="auto"/>
        <s v="apteka"/>
        <s v="rossman"/>
        <s v="taxi"/>
        <s v="PIT36"/>
        <s v="VAT"/>
        <s v="zus"/>
        <s v="paliwo"/>
        <s v="ubrania"/>
        <m/>
      </sharedItems>
    </cacheField>
    <cacheField name="kwota" numFmtId="164">
      <sharedItems containsString="0" containsBlank="1" containsNumber="1" containsInteger="1">
        <n v="1000.0"/>
        <n v="163.0"/>
        <n v="680.0"/>
        <n v="58.0"/>
        <n v="80.0"/>
        <n v="100.0"/>
        <n v="236.0"/>
        <n v="83.0"/>
        <n v="1382.0"/>
        <n v="350.0"/>
        <n v="15.0"/>
        <n v="2335.0"/>
        <n v="20.0"/>
        <n v="33.0"/>
        <n v="60.0"/>
        <n v="30.0"/>
        <n v="36.0"/>
        <n v="50.0"/>
        <n v="370.0"/>
        <n v="40.0"/>
        <n v="70.0"/>
        <n v="55.0"/>
        <n v="3868.0"/>
        <n v="6208.0"/>
        <n v="2914.0"/>
        <n v="12.0"/>
        <n v="180.0"/>
        <n v="168.0"/>
        <n v="140.0"/>
        <n v="90.0"/>
        <n v="95.0"/>
        <n v="175.0"/>
        <n v="348.0"/>
        <n v="68.0"/>
        <n v="131.0"/>
        <n v="3.0"/>
        <n v="200.0"/>
        <n v="76.0"/>
        <n v="10.0"/>
        <m/>
      </sharedItems>
    </cacheField>
  </cacheFields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7" sheet="maj2024"/>
  </cacheSource>
  <cacheFields>
    <cacheField name="kategoria" numFmtId="0">
      <sharedItems containsBlank="1">
        <s v="auto"/>
        <s v="paliwo"/>
        <s v="biuro"/>
        <s v="biedronka"/>
        <s v="mieszkanie"/>
        <s v="fun"/>
        <s v="żabka"/>
        <s v="apteka"/>
        <s v="ZUS"/>
        <s v="PIT36"/>
        <s v="VAT"/>
        <s v="lekarz"/>
        <s v="kawa"/>
        <s v="rossman"/>
        <m/>
      </sharedItems>
    </cacheField>
    <cacheField name="kwota" numFmtId="164">
      <sharedItems containsString="0" containsBlank="1" containsNumber="1">
        <n v="2330.0"/>
        <n v="250.0"/>
        <n v="83.0"/>
        <n v="200.0"/>
        <n v="350.0"/>
        <n v="1382.0"/>
        <n v="30.0"/>
        <n v="90.0"/>
        <n v="217.0"/>
        <n v="333.0"/>
        <n v="13.0"/>
        <n v="265.0"/>
        <n v="100.0"/>
        <n v="246.0"/>
        <n v="19.0"/>
        <n v="65.0"/>
        <n v="550.0"/>
        <n v="180.0"/>
        <n v="55.0"/>
        <n v="58.0"/>
        <n v="7677.78"/>
        <n v="12.0"/>
        <n v="80.0"/>
        <n v="2011.0"/>
        <n v="1714.0"/>
        <n v="110.0"/>
        <n v="750.0"/>
        <n v="208.0"/>
        <n v="9.0"/>
        <n v="95.0"/>
        <n v="20.0"/>
        <n v="15.0"/>
        <n v="150.0"/>
        <n v="85.0"/>
        <n v="17.0"/>
        <n v="25.0"/>
        <n v="157.0"/>
        <n v="22.0"/>
        <n v="5.0"/>
        <n v="33.0"/>
        <n v="23.0"/>
        <n v="47.0"/>
        <n v="70.0"/>
        <n v="60.0"/>
        <n v="130.0"/>
        <n v="14.0"/>
        <n v="45.0"/>
        <n v="174.0"/>
        <n v="347.0"/>
        <n v="34.22"/>
        <m/>
      </sharedItems>
    </cacheField>
  </cacheFields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kwiecien2024"/>
  </cacheSource>
  <cacheFields>
    <cacheField name="kategoria" numFmtId="0">
      <sharedItems containsBlank="1">
        <s v="biedronka"/>
        <s v="fun"/>
        <s v="żabka"/>
        <s v="auto"/>
        <s v="biuro"/>
        <s v="mieszkanie"/>
        <s v="kawa"/>
        <s v="taxi"/>
        <s v="ubrania"/>
        <s v="paliwo"/>
        <s v="PIT36"/>
        <s v="ZUS"/>
        <s v="VAT"/>
        <m/>
      </sharedItems>
    </cacheField>
    <cacheField name="kwota" numFmtId="164">
      <sharedItems containsString="0" containsBlank="1" containsNumber="1" containsInteger="1">
        <n v="100.0"/>
        <n v="400.0"/>
        <n v="10.0"/>
        <n v="2332.0"/>
        <n v="244.0"/>
        <n v="83.0"/>
        <n v="1382.0"/>
        <n v="70.0"/>
        <n v="40.0"/>
        <n v="25.0"/>
        <n v="470.0"/>
        <n v="290.0"/>
        <n v="550.0"/>
        <n v="315.0"/>
        <n v="95.0"/>
        <n v="908.0"/>
        <n v="300.0"/>
        <n v="107.0"/>
        <n v="130.0"/>
        <n v="94.0"/>
        <n v="350.0"/>
        <n v="72.0"/>
        <n v="153.0"/>
        <n v="12.0"/>
        <n v="2913.0"/>
        <n v="5879.0"/>
        <n v="3373.0"/>
        <n v="8252.0"/>
        <n v="180.0"/>
        <n v="11.0"/>
        <n v="192.0"/>
        <n v="80.0"/>
        <n v="680.0"/>
        <m/>
      </sharedItems>
    </cacheField>
  </cacheFields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6" sheet="marzec2024"/>
  </cacheSource>
  <cacheFields>
    <cacheField name="kategoria" numFmtId="0">
      <sharedItems containsBlank="1">
        <s v="biedronka"/>
        <s v="mieszkanie"/>
        <s v="fun"/>
        <s v="ubrania"/>
        <s v="biuro"/>
        <s v="auto"/>
        <s v="kawa"/>
        <s v="apteka"/>
        <s v="żabka"/>
        <s v="paliwo"/>
        <s v="taxi"/>
        <s v="ZUS"/>
        <s v="PIT36"/>
        <s v="VAT"/>
        <s v="lekarz"/>
        <s v="przejazdy"/>
        <m/>
      </sharedItems>
    </cacheField>
    <cacheField name="kwota" numFmtId="164">
      <sharedItems containsString="0" containsBlank="1" containsNumber="1">
        <n v="900.0"/>
        <n v="350.0"/>
        <n v="40.0"/>
        <n v="24.0"/>
        <n v="45.0"/>
        <n v="16.0"/>
        <n v="530.0"/>
        <n v="290.0"/>
        <n v="60.0"/>
        <n v="22.0"/>
        <n v="210.0"/>
        <n v="2330.31"/>
        <n v="227.55"/>
        <n v="87.29"/>
        <n v="120.0"/>
        <n v="90.0"/>
        <n v="1382.0"/>
        <n v="246.0"/>
        <n v="125.0"/>
        <n v="100.0"/>
        <n v="128.0"/>
        <n v="75.0"/>
        <n v="257.0"/>
        <n v="186.0"/>
        <n v="26.0"/>
        <n v="250.0"/>
        <n v="30.0"/>
        <n v="50.0"/>
        <n v="140.0"/>
        <n v="53.0"/>
        <n v="2900.0"/>
        <n v="3519.0"/>
        <n v="6329.0"/>
        <n v="80.0"/>
        <n v="150.0"/>
        <n v="270.0"/>
        <n v="15.0"/>
        <n v="32.0"/>
        <n v="260.0"/>
        <n v="220.0"/>
        <n v="1000.0"/>
        <n v="348.0"/>
        <n v="200.0"/>
        <n v="58.0"/>
        <n v="35.0"/>
        <n v="10.0"/>
        <n v="70.0"/>
        <n v="9.85"/>
        <m/>
      </sharedItems>
    </cacheField>
  </cacheFields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8" sheet="luty2024"/>
  </cacheSource>
  <cacheFields>
    <cacheField name="kategoria" numFmtId="0">
      <sharedItems containsBlank="1">
        <s v="fun"/>
        <s v="biuro"/>
        <s v="biedronka"/>
        <s v="paliwo"/>
        <s v="przejazdy"/>
        <s v="ubrania"/>
        <s v="żabka"/>
        <s v="auto"/>
        <s v="mieszkanie"/>
        <s v="apteka"/>
        <s v="lekarz"/>
        <s v="kawa"/>
        <s v="kredyt"/>
        <s v="rossman"/>
        <s v="zus"/>
        <s v="VAT"/>
        <s v="PIT36"/>
        <m/>
      </sharedItems>
    </cacheField>
    <cacheField name="kwota">
      <sharedItems containsBlank="1" containsMixedTypes="1" containsNumber="1" containsInteger="1">
        <n v="252.0"/>
        <n v="1221.0"/>
        <n v="300.0"/>
        <n v="17.0"/>
        <n v="1000.0"/>
        <n v="400.0"/>
        <n v="270.0"/>
        <n v="197.0"/>
        <n v="60.0"/>
        <n v="380.0"/>
        <n v="30.0"/>
        <n v="7.0"/>
        <n v="40.0"/>
        <n v="50.0"/>
        <n v="35.0"/>
        <n v="1700.0"/>
        <n v="575.0"/>
        <n v="80.0"/>
        <n v="1380.0"/>
        <n v="281.0"/>
        <s v="2 323,47"/>
        <n v="228.0"/>
        <n v="83.0"/>
        <n v="149.0"/>
        <n v="350.0"/>
        <n v="15.0"/>
        <n v="44.0"/>
        <n v="165.0"/>
        <n v="81.0"/>
        <n v="163.0"/>
        <n v="184.0"/>
        <n v="37.0"/>
        <n v="100.0"/>
        <n v="200.0"/>
        <n v="34.0"/>
        <n v="19.0"/>
        <n v="20.0"/>
        <n v="690.0"/>
        <n v="115.0"/>
        <n v="56.0"/>
        <n v="230.0"/>
        <n v="90.0"/>
        <n v="48.0"/>
        <n v="500.0"/>
        <n v="57.0"/>
        <n v="54.0"/>
        <n v="71.0"/>
        <n v="2800.0"/>
        <n v="130.0"/>
        <n v="170.0"/>
        <n v="7656.0"/>
        <n v="4448.0"/>
        <n v="74.0"/>
        <n v="680.0"/>
        <n v="154.0"/>
        <n v="46.0"/>
        <n v="250.0"/>
        <n v="65.0"/>
        <n v="70.0"/>
        <n v="18.0"/>
        <n v="10.0"/>
        <n v="25.0"/>
        <n v="689.0"/>
        <n v="160.0"/>
        <n v="1570.0"/>
        <m/>
      </sharedItems>
    </cacheField>
  </cacheFields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styczen2024"/>
  </cacheSource>
  <cacheFields>
    <cacheField name="kategoria" numFmtId="0">
      <sharedItems containsBlank="1">
        <s v="biedronka"/>
        <s v="ubrania"/>
        <s v="mieszkanie"/>
        <s v="auto"/>
        <s v="biuro"/>
        <s v="żabka"/>
        <s v="fun"/>
        <s v="przejazdy"/>
        <s v="paliwo"/>
        <s v="PIT36"/>
        <s v="vat"/>
        <s v="zus"/>
        <s v="kawa"/>
        <s v="apteka"/>
        <s v="kredyt"/>
        <m/>
      </sharedItems>
    </cacheField>
    <cacheField name="kwota" numFmtId="164">
      <sharedItems containsString="0" containsBlank="1" containsNumber="1" containsInteger="1">
        <n v="67.0"/>
        <n v="190.0"/>
        <n v="56.0"/>
        <n v="176.0"/>
        <n v="90.0"/>
        <n v="215.0"/>
        <n v="35.0"/>
        <n v="800.0"/>
        <n v="1382.0"/>
        <n v="350.0"/>
        <n v="2330.0"/>
        <n v="83.0"/>
        <n v="230.0"/>
        <n v="5.0"/>
        <n v="31.0"/>
        <n v="200.0"/>
        <n v="60.0"/>
        <n v="5900.0"/>
        <n v="10.0"/>
        <n v="300.0"/>
        <n v="20.0"/>
        <n v="127.0"/>
        <n v="37.0"/>
        <n v="69.0"/>
        <n v="58.0"/>
        <n v="226.0"/>
        <n v="23.0"/>
        <n v="29.0"/>
        <n v="33.0"/>
        <n v="36.0"/>
        <n v="41.0"/>
        <n v="40.0"/>
        <n v="25.0"/>
        <n v="232.0"/>
        <n v="80.0"/>
        <n v="3.0"/>
        <n v="258.0"/>
        <n v="3319.0"/>
        <n v="5645.0"/>
        <n v="2600.0"/>
        <n v="250.0"/>
        <n v="14.0"/>
        <n v="147.0"/>
        <n v="70.0"/>
        <n v="162.0"/>
        <n v="3550.0"/>
        <n v="71.0"/>
        <n v="140.0"/>
        <n v="57.0"/>
        <n v="151.0"/>
        <n v="234.0"/>
        <n v="500.0"/>
        <n v="680.0"/>
        <n v="141.0"/>
        <n v="150.0"/>
        <n v="98.0"/>
        <n v="105.0"/>
        <n v="55.0"/>
        <n v="289.0"/>
        <n v="133.0"/>
        <m/>
      </sharedItems>
    </cacheField>
  </cacheFields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grudzien2023"/>
  </cacheSource>
  <cacheFields>
    <cacheField name="kategoria" numFmtId="0">
      <sharedItems containsBlank="1">
        <s v="mieszkanie"/>
        <s v="auto"/>
        <s v="biuro"/>
        <s v="biedronka"/>
        <s v="paliwo"/>
        <s v="przejazdy"/>
        <s v="VAT"/>
        <s v="PIT36"/>
        <s v="ZUS"/>
        <s v="fun"/>
        <s v="żabka"/>
        <s v="rossman"/>
        <s v="lekarz"/>
        <s v="kawa"/>
        <s v="kredyt"/>
        <s v="apteka"/>
        <m/>
      </sharedItems>
    </cacheField>
    <cacheField name="kwota" numFmtId="164">
      <sharedItems containsString="0" containsBlank="1" containsNumber="1" containsInteger="1">
        <n v="350.0"/>
        <n v="1390.0"/>
        <n v="2331.0"/>
        <n v="230.0"/>
        <n v="160.0"/>
        <n v="110.0"/>
        <n v="213.0"/>
        <n v="4841.0"/>
        <n v="60.0"/>
        <n v="227.0"/>
        <n v="220.0"/>
        <n v="6069.0"/>
        <n v="3548.0"/>
        <n v="2600.0"/>
        <n v="12.0"/>
        <n v="188.0"/>
        <n v="239.0"/>
        <n v="157.0"/>
        <n v="48.0"/>
        <n v="178.0"/>
        <n v="29.0"/>
        <n v="225.0"/>
        <n v="550.0"/>
        <n v="41.0"/>
        <n v="17.0"/>
        <n v="5.0"/>
        <n v="61.0"/>
        <n v="26.0"/>
        <n v="131.0"/>
        <n v="66.0"/>
        <n v="158.0"/>
        <n v="57.0"/>
        <n v="36.0"/>
        <n v="59.0"/>
        <n v="14.0"/>
        <n v="19.0"/>
        <n v="27.0"/>
        <n v="35.0"/>
        <n v="165.0"/>
        <n v="150.0"/>
        <n v="82.0"/>
        <n v="33.0"/>
        <n v="6.0"/>
        <n v="8.0"/>
        <n v="7.0"/>
        <n v="91.0"/>
        <n v="23.0"/>
        <n v="153.0"/>
        <n v="142.0"/>
        <n v="80.0"/>
        <n v="16.0"/>
        <n v="500.0"/>
        <n v="100.0"/>
        <n v="78.0"/>
        <n v="378.0"/>
        <n v="270.0"/>
        <n v="4.0"/>
        <n v="1800.0"/>
        <n v="92.0"/>
        <n v="305.0"/>
        <n v="128.0"/>
        <n v="38.0"/>
        <n v="15.0"/>
        <n v="46.0"/>
        <n v="65.0"/>
        <n v="25.0"/>
        <n v="102.0"/>
        <n v="135.0"/>
        <n v="360.0"/>
        <n v="13.0"/>
        <n v="141.0"/>
        <n v="24.0"/>
        <n v="1076.0"/>
        <m/>
      </sharedItems>
    </cacheField>
  </cacheFields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listopad2023"/>
  </cacheSource>
  <cacheFields>
    <cacheField name="kategoria" numFmtId="0">
      <sharedItems containsBlank="1">
        <s v="mieszkanie"/>
        <s v="auto"/>
        <s v="paliwo"/>
        <s v="biuro"/>
        <s v="fun"/>
        <s v="biedronka"/>
        <s v="żabka"/>
        <s v="kawa"/>
        <s v="lekarz"/>
        <s v="rossmann"/>
        <s v="taxi"/>
        <s v="zus"/>
        <s v="PIT36"/>
        <s v="VAT"/>
        <s v="kredyt"/>
        <s v="ubrania"/>
        <s v="przejazdy"/>
        <s v="rossman"/>
        <s v="apteka"/>
        <m/>
      </sharedItems>
    </cacheField>
    <cacheField name="kwota" numFmtId="164">
      <sharedItems containsString="0" containsBlank="1" containsNumber="1" containsInteger="1">
        <n v="1383.0"/>
        <n v="315.0"/>
        <n v="2335.0"/>
        <n v="180.0"/>
        <n v="230.0"/>
        <n v="12.0"/>
        <n v="730.0"/>
        <n v="592.0"/>
        <n v="141.0"/>
        <n v="20.0"/>
        <n v="145.0"/>
        <n v="350.0"/>
        <n v="10.0"/>
        <n v="165.0"/>
        <n v="250.0"/>
        <n v="520.0"/>
        <n v="27.0"/>
        <n v="26.0"/>
        <n v="700.0"/>
        <n v="41.0"/>
        <n v="100.0"/>
        <n v="51.0"/>
        <n v="16.0"/>
        <n v="106.0"/>
        <n v="70.0"/>
        <n v="130.0"/>
        <n v="550.0"/>
        <n v="2614.0"/>
        <n v="4661.0"/>
        <n v="6091.0"/>
        <n v="40.0"/>
        <n v="340.0"/>
        <n v="210.0"/>
        <n v="500.0"/>
        <n v="80.0"/>
        <n v="54.0"/>
        <n v="60.0"/>
        <n v="50.0"/>
        <n v="15.0"/>
        <n v="77.0"/>
        <n v="110.0"/>
        <n v="200.0"/>
        <n v="940.0"/>
        <n v="260.0"/>
        <n v="103.0"/>
        <n v="35.0"/>
        <n v="55.0"/>
        <n v="8.0"/>
        <n v="108.0"/>
        <n v="150.0"/>
        <n v="246.0"/>
        <n v="44.0"/>
        <n v="3741.0"/>
        <n v="85.0"/>
        <n v="24.0"/>
        <n v="57.0"/>
        <n v="290.0"/>
        <m/>
      </sharedItems>
    </cacheField>
  </cacheFields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pazdziernik2023"/>
  </cacheSource>
  <cacheFields>
    <cacheField name="kategoria" numFmtId="0">
      <sharedItems containsBlank="1">
        <s v="paliwo"/>
        <s v="biuro"/>
        <s v="biedronka"/>
        <s v="fun"/>
        <s v="auto"/>
        <s v="mieszkanie"/>
        <s v="przejazdy"/>
        <s v="ubrania"/>
        <s v="zus"/>
        <s v="PIT36"/>
        <s v="VAT"/>
        <s v="kawa"/>
        <s v="apteka"/>
        <s v="żabka"/>
        <m/>
      </sharedItems>
    </cacheField>
    <cacheField name="kwota" numFmtId="164">
      <sharedItems containsString="0" containsBlank="1" containsNumber="1" containsInteger="1">
        <n v="194.0"/>
        <n v="300.0"/>
        <n v="185.0"/>
        <n v="128.0"/>
        <n v="1000.0"/>
        <n v="200.0"/>
        <n v="2371.0"/>
        <n v="350.0"/>
        <n v="1359.0"/>
        <n v="803.0"/>
        <n v="54.0"/>
        <n v="6500.0"/>
        <n v="60.0"/>
        <n v="240.0"/>
        <n v="83.0"/>
        <n v="30.0"/>
        <n v="65.0"/>
        <n v="260.0"/>
        <n v="96.0"/>
        <n v="400.0"/>
        <n v="41.0"/>
        <n v="250.0"/>
        <n v="2100.0"/>
        <n v="299.0"/>
        <n v="3343.0"/>
        <n v="3675.0"/>
        <n v="550.0"/>
        <n v="680.0"/>
        <n v="290.0"/>
        <n v="116.0"/>
        <n v="600.0"/>
        <n v="190.0"/>
        <n v="85.0"/>
        <n v="105.0"/>
        <n v="2738.0"/>
        <n v="42.0"/>
        <n v="455.0"/>
        <n v="26.0"/>
        <n v="15.0"/>
        <n v="34.0"/>
        <n v="23.0"/>
        <n v="230.0"/>
        <m/>
      </sharedItems>
    </cacheField>
  </cacheFields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wrzesien2023"/>
  </cacheSource>
  <cacheFields>
    <cacheField name="kategoria" numFmtId="0">
      <sharedItems containsBlank="1">
        <s v="fun"/>
        <s v="lekarz"/>
        <s v="apteka"/>
        <s v="biedronka"/>
        <s v="rossman"/>
        <s v="żabka"/>
        <s v="mieszkanie"/>
        <s v="paliwo"/>
        <s v="auto"/>
        <s v="biuro"/>
        <s v="kredyt"/>
        <s v="taxi"/>
        <s v="ZUS"/>
        <s v="PIT36"/>
        <s v="VAT"/>
        <s v="kawa"/>
        <m/>
      </sharedItems>
    </cacheField>
    <cacheField name="kwota" numFmtId="164">
      <sharedItems containsString="0" containsBlank="1" containsNumber="1" containsInteger="1">
        <n v="260.0"/>
        <n v="150.0"/>
        <n v="73.0"/>
        <n v="16.0"/>
        <n v="11.0"/>
        <n v="250.0"/>
        <n v="82.0"/>
        <n v="40.0"/>
        <n v="60.0"/>
        <n v="350.0"/>
        <n v="273.0"/>
        <n v="50.0"/>
        <n v="2500.0"/>
        <n v="1932.0"/>
        <n v="225.0"/>
        <n v="100.0"/>
        <n v="300.0"/>
        <n v="240.0"/>
        <n v="500.0"/>
        <n v="35.0"/>
        <n v="1358.0"/>
        <n v="80.0"/>
        <n v="2100.0"/>
        <n v="160.0"/>
        <n v="83.0"/>
        <n v="57.0"/>
        <n v="25.0"/>
        <n v="135.0"/>
        <n v="1407.0"/>
        <n v="3835.0"/>
        <n v="5709.0"/>
        <n v="65.0"/>
        <n v="120.0"/>
        <n v="30.0"/>
        <n v="2660.0"/>
        <n v="233.0"/>
        <n v="12.0"/>
        <n v="190.0"/>
        <n v="164.0"/>
        <m/>
      </sharedItems>
    </cacheField>
  </cacheFields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sierpien2023"/>
  </cacheSource>
  <cacheFields>
    <cacheField name="kategoria" numFmtId="0">
      <sharedItems containsBlank="1">
        <s v="fun"/>
        <s v="kawa"/>
        <s v="biedronka"/>
        <s v="ubrania"/>
        <s v="apteka"/>
        <s v="paliwo"/>
        <s v="biuro"/>
        <s v="mieszkanie"/>
        <s v="auto"/>
        <s v="PIT36"/>
        <s v="VAT"/>
        <s v="zus"/>
        <s v="przejazdy"/>
        <s v="lekarz"/>
        <s v="rossman"/>
        <m/>
      </sharedItems>
    </cacheField>
    <cacheField name="kwota" numFmtId="164">
      <sharedItems containsString="0" containsBlank="1" containsNumber="1">
        <n v="590.0"/>
        <n v="100.0"/>
        <n v="50.0"/>
        <n v="1500.0"/>
        <n v="658.0"/>
        <n v="250.0"/>
        <n v="125.0"/>
        <n v="121.0"/>
        <n v="241.0"/>
        <n v="290.0"/>
        <n v="152.0"/>
        <n v="1360.0"/>
        <n v="2432.0"/>
        <n v="285.0"/>
        <n v="200.0"/>
        <n v="83.0"/>
        <n v="280.0"/>
        <n v="350.0"/>
        <n v="595.0"/>
        <n v="120.0"/>
        <n v="18.0"/>
        <n v="27.0"/>
        <n v="300.0"/>
        <n v="4205.0"/>
        <n v="6780.0"/>
        <n v="2100.0"/>
        <n v="193.91"/>
        <n v="132.0"/>
        <n v="30.0"/>
        <n v="240.0"/>
        <n v="115.0"/>
        <n v="20.0"/>
        <n v="110.0"/>
        <n v="210.0"/>
        <n v="47.0"/>
        <n v="16.0"/>
        <n v="800.0"/>
        <n v="19.0"/>
        <n v="49.0"/>
        <n v="61.0"/>
        <n v="91.0"/>
        <n v="311.0"/>
        <n v="60.0"/>
        <n v="31.0"/>
        <n v="122.0"/>
        <n v="700.0"/>
        <n v="780.0"/>
        <n v="570.0"/>
        <n v="510.0"/>
        <n v="42.0"/>
        <n v="12.0"/>
        <n v="44.0"/>
        <n v="26.0"/>
        <n v="34.0"/>
        <n v="130.0"/>
        <n v="786.0"/>
        <n v="40.0"/>
        <m/>
      </sharedItems>
    </cacheField>
  </cacheFields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9" sheet="lipiec2023"/>
  </cacheSource>
  <cacheFields>
    <cacheField name="kategoria" numFmtId="0">
      <sharedItems containsBlank="1">
        <s v="paliwo"/>
        <s v="biuro"/>
        <s v="fun"/>
        <s v="przejazdy"/>
        <s v="apteka"/>
        <s v="żabka"/>
        <s v="kawa"/>
        <s v="auto"/>
        <s v="biedronka"/>
        <s v="mieszkanie"/>
        <s v="rossman"/>
        <s v="lekarz"/>
        <s v="PIT36"/>
        <s v="vat"/>
        <s v="taxi"/>
        <s v="ZUS"/>
        <m/>
      </sharedItems>
    </cacheField>
    <cacheField name="kwota" numFmtId="164">
      <sharedItems containsString="0" containsBlank="1" containsNumber="1" containsInteger="1">
        <n v="174.0"/>
        <n v="290.0"/>
        <n v="77.0"/>
        <n v="14.0"/>
        <n v="13.0"/>
        <n v="100.0"/>
        <n v="11.0"/>
        <n v="7.0"/>
        <n v="53.0"/>
        <n v="10.0"/>
        <n v="12.0"/>
        <n v="107.0"/>
        <n v="20.0"/>
        <n v="9.0"/>
        <n v="48.0"/>
        <n v="37.0"/>
        <n v="15.0"/>
        <n v="278.0"/>
        <n v="1359.0"/>
        <n v="24.0"/>
        <n v="350.0"/>
        <n v="2434.0"/>
        <n v="83.0"/>
        <n v="230.0"/>
        <n v="160.0"/>
        <n v="50.0"/>
        <n v="150.0"/>
        <n v="200.0"/>
        <n v="3300.0"/>
        <n v="5630.0"/>
        <n v="42.0"/>
        <n v="22.0"/>
        <n v="16.0"/>
        <n v="112.0"/>
        <n v="5.0"/>
        <n v="165.0"/>
        <n v="30.0"/>
        <n v="35.0"/>
        <n v="94.0"/>
        <n v="300.0"/>
        <n v="212.0"/>
        <n v="650.0"/>
        <n v="700.0"/>
        <n v="80.0"/>
        <n v="5000.0"/>
        <n v="400.0"/>
        <n v="64.0"/>
        <n v="2115.0"/>
        <n v="60.0"/>
        <n v="120.0"/>
        <n v="240.0"/>
        <n v="18.0"/>
        <n v="1125.0"/>
        <n v="660.0"/>
        <n v="130.0"/>
        <n v="90.0"/>
        <m/>
      </sharedItems>
    </cacheField>
  </cacheFields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7" sheet="czerwiec2023"/>
  </cacheSource>
  <cacheFields>
    <cacheField name="kategoria" numFmtId="0">
      <sharedItems containsBlank="1">
        <s v="fun"/>
        <s v="biedronka"/>
        <s v="biuro"/>
        <s v="mieszkanie"/>
        <s v="auto"/>
        <s v="apteka"/>
        <s v="kawa"/>
        <s v="ubrania"/>
        <s v="PIT36"/>
        <s v="VAT"/>
        <s v="paliwo"/>
        <s v="ZUS"/>
        <s v="przejazdy"/>
        <s v="lekarz"/>
        <s v="żabka"/>
        <m/>
      </sharedItems>
    </cacheField>
    <cacheField name="kwota" numFmtId="164">
      <sharedItems containsString="0" containsBlank="1" containsNumber="1" containsInteger="1">
        <n v="200.0"/>
        <n v="160.0"/>
        <n v="290.0"/>
        <n v="350.0"/>
        <n v="2500.0"/>
        <n v="91.0"/>
        <n v="15.0"/>
        <n v="45.0"/>
        <n v="72.0"/>
        <n v="250.0"/>
        <n v="280.0"/>
        <n v="83.0"/>
        <n v="1380.0"/>
        <n v="110.0"/>
        <n v="50.0"/>
        <n v="27.0"/>
        <n v="6.0"/>
        <n v="130.0"/>
        <n v="370.0"/>
        <n v="60.0"/>
        <n v="52.0"/>
        <n v="40.0"/>
        <n v="7.0"/>
        <n v="95.0"/>
        <n v="3449.0"/>
        <n v="5925.0"/>
        <n v="300.0"/>
        <n v="140.0"/>
        <n v="30.0"/>
        <n v="134.0"/>
        <n v="120.0"/>
        <n v="80.0"/>
        <n v="44.0"/>
        <n v="125.0"/>
        <n v="100.0"/>
        <n v="2100.0"/>
        <n v="25.0"/>
        <n v="220.0"/>
        <n v="26.0"/>
        <n v="13.0"/>
        <n v="150.0"/>
        <n v="190.0"/>
        <n v="225.0"/>
        <n v="21.0"/>
        <n v="20.0"/>
        <n v="240.0"/>
        <n v="10.0"/>
        <n v="74.0"/>
        <n v="75.0"/>
        <n v="18.0"/>
        <n v="380.0"/>
        <n v="53.0"/>
        <n v="78.0"/>
        <n v="310.0"/>
        <n v="36.0"/>
        <n v="238.0"/>
        <n v="1800.0"/>
        <n v="234.0"/>
        <m/>
      </sharedItems>
    </cacheField>
  </cacheFields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85" sheet="kwiecien2023"/>
  </cacheSource>
  <cacheFields>
    <cacheField name="kategoria" numFmtId="0">
      <sharedItems>
        <s v="paliwo"/>
        <s v="fun"/>
        <s v="mieszkanie"/>
        <s v="biedronka"/>
        <s v="żabka"/>
        <s v="auto"/>
        <s v="lidl"/>
        <s v="kawa"/>
        <s v="apteka"/>
        <s v="biuro"/>
        <s v="lekarz"/>
        <s v="taxi"/>
        <s v="ubrania"/>
        <s v="przejazdy"/>
        <s v="VAT"/>
        <s v="PIT36"/>
        <s v="ZUS"/>
      </sharedItems>
    </cacheField>
    <cacheField name="kwota" numFmtId="164">
      <sharedItems containsSemiMixedTypes="0" containsString="0" containsNumber="1">
        <n v="292.0"/>
        <n v="3200.0"/>
        <n v="173.0"/>
        <n v="205.0"/>
        <n v="56.0"/>
        <n v="100.0"/>
        <n v="37.0"/>
        <n v="27.0"/>
        <n v="122.0"/>
        <n v="13.0"/>
        <n v="18.0"/>
        <n v="264.0"/>
        <n v="260.0"/>
        <n v="15.0"/>
        <n v="90.0"/>
        <n v="78.0"/>
        <n v="10.0"/>
        <n v="57.0"/>
        <n v="83.0"/>
        <n v="82.0"/>
        <n v="2434.67"/>
        <n v="228.0"/>
        <n v="1344.0"/>
        <n v="20.0"/>
        <n v="270.0"/>
        <n v="225.0"/>
        <n v="40.0"/>
        <n v="16.0"/>
        <n v="150.0"/>
        <n v="12.0"/>
        <n v="250.0"/>
        <n v="101.0"/>
        <n v="87.0"/>
        <n v="60.0"/>
        <n v="164.0"/>
        <n v="21.0"/>
        <n v="320.0"/>
        <n v="340.0"/>
        <n v="70.0"/>
        <n v="6046.0"/>
        <n v="3762.0"/>
        <n v="23.0"/>
        <n v="177.0"/>
        <n v="25.0"/>
        <n v="42.0"/>
        <n v="55.0"/>
        <n v="2100.0"/>
        <n v="130.0"/>
        <n v="30.0"/>
        <n v="162.0"/>
        <n v="80.0"/>
        <n v="62.0"/>
        <n v="32.0"/>
        <n v="240.0"/>
        <n v="210.0"/>
        <n v="142.0"/>
        <n v="7.0"/>
        <n v="48.0"/>
        <n v="120.0"/>
        <n v="300.0"/>
        <n v="64.0"/>
        <n v="290.0"/>
        <n v="220.0"/>
        <n v="424.0"/>
      </sharedItems>
    </cacheField>
  </cacheFields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92" sheet="marzec2023"/>
  </cacheSource>
  <cacheFields>
    <cacheField name="kategoria" numFmtId="0">
      <sharedItems>
        <s v="mieszkanie"/>
        <s v="biuro"/>
        <s v="auto"/>
        <s v="paliwo"/>
        <s v="lekarz"/>
        <s v="biedronka"/>
        <s v="fun"/>
        <s v="żabka"/>
        <s v="taxi"/>
        <s v="PIT36"/>
        <s v="VAT"/>
        <s v="ZUS"/>
        <s v="apteka"/>
        <s v="kawa"/>
        <s v="ubrania"/>
        <s v="kluska"/>
      </sharedItems>
    </cacheField>
    <cacheField name="kwota" numFmtId="164">
      <sharedItems containsSemiMixedTypes="0" containsString="0" containsNumber="1">
        <n v="350.0"/>
        <n v="228.0"/>
        <n v="2434.67"/>
        <n v="83.0"/>
        <n v="1344.0"/>
        <n v="280.0"/>
        <n v="270.0"/>
        <n v="150.0"/>
        <n v="233.0"/>
        <n v="23.0"/>
        <n v="21.0"/>
        <n v="25.0"/>
        <n v="135.0"/>
        <n v="52.0"/>
        <n v="22.0"/>
        <n v="12.0"/>
        <n v="24.0"/>
        <n v="68.0"/>
        <n v="9.0"/>
        <n v="200.0"/>
        <n v="622.0"/>
        <n v="38.0"/>
        <n v="180.0"/>
        <n v="10.0"/>
        <n v="20.0"/>
        <n v="40.0"/>
        <n v="50.0"/>
        <n v="247.0"/>
        <n v="516.0"/>
        <n v="985.0"/>
        <n v="1351.0"/>
        <n v="2100.0"/>
        <n v="65.15"/>
        <n v="61.5"/>
        <n v="5.0"/>
        <n v="17.0"/>
        <n v="44.0"/>
        <n v="14.0"/>
        <n v="53.0"/>
        <n v="216.0"/>
        <n v="90.0"/>
        <n v="78.0"/>
        <n v="64.0"/>
        <n v="600.0"/>
        <n v="243.0"/>
        <n v="290.0"/>
        <n v="32.0"/>
        <n v="66.0"/>
        <n v="114.0"/>
        <n v="27.0"/>
        <n v="110.0"/>
        <n v="11.0"/>
        <n v="46.0"/>
        <n v="195.0"/>
        <n v="60.0"/>
        <n v="16.0"/>
        <n v="4.0"/>
        <n v="15.0"/>
        <n v="300.0"/>
        <n v="30.0"/>
        <n v="80.0"/>
        <n v="156.0"/>
        <n v="55.0"/>
        <n v="18.0"/>
        <n v="19.0"/>
        <n v="47.0"/>
        <n v="162.0"/>
      </sharedItems>
    </cacheField>
  </cacheFields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B100" sheet="styczen2023"/>
  </cacheSource>
  <cacheFields>
    <cacheField name="kategoria" numFmtId="0">
      <sharedItems containsBlank="1">
        <s v="paliwo"/>
        <s v="żabka"/>
        <s v="fun"/>
        <s v="mieszkanie"/>
        <s v="biedronka"/>
        <s v="auto"/>
        <s v="kawa"/>
        <s v="biuro"/>
        <s v="lekarz"/>
        <s v="kluska"/>
        <s v="zus"/>
        <s v="VAT"/>
        <s v="PIT36"/>
        <s v="apteka"/>
        <s v="ubrania"/>
        <m/>
      </sharedItems>
    </cacheField>
    <cacheField name="kwota" numFmtId="164">
      <sharedItems containsString="0" containsBlank="1" containsNumber="1" containsInteger="1">
        <n v="238.0"/>
        <n v="26.0"/>
        <n v="40.0"/>
        <n v="1200.0"/>
        <n v="350.0"/>
        <n v="170.0"/>
        <n v="70.0"/>
        <n v="2450.0"/>
        <n v="77.0"/>
        <n v="100.0"/>
        <n v="50.0"/>
        <n v="240.0"/>
        <n v="90.0"/>
        <n v="225.0"/>
        <n v="35.0"/>
        <n v="630.0"/>
        <n v="16.0"/>
        <n v="450.0"/>
        <n v="48.0"/>
        <n v="53.0"/>
        <n v="1830.0"/>
        <n v="4148.0"/>
        <n v="3201.0"/>
        <n v="470.0"/>
        <n v="260.0"/>
        <n v="117.0"/>
        <n v="220.0"/>
        <n v="300.0"/>
        <n v="150.0"/>
        <n v="250.0"/>
        <n v="22.0"/>
        <n v="160.0"/>
        <n v="13.0"/>
        <n v="23.0"/>
        <n v="60.0"/>
        <n v="20.0"/>
        <n v="32.0"/>
        <n v="12.0"/>
        <n v="330.0"/>
        <n v="64.0"/>
        <n v="30.0"/>
        <n v="62.0"/>
        <n v="210.0"/>
        <n v="290.0"/>
        <n v="110.0"/>
        <n v="15.0"/>
        <n v="216.0"/>
        <n v="28.0"/>
        <n v="43.0"/>
        <n v="65.0"/>
        <n v="55.0"/>
        <n v="86.0"/>
        <n v="500.0"/>
        <n v="190.0"/>
        <n v="123.0"/>
        <n v="133.0"/>
        <n v="462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pivotTable1.xml><?xml version="1.0" encoding="utf-8"?>
<pivotTableDefinition xmlns="http://schemas.openxmlformats.org/spreadsheetml/2006/main" name="pazdziernik2025" cacheId="0" dataCaption="" compact="0" compactData="0">
  <location ref="H7:I19" firstHeaderRow="0" firstDataRow="1" firstDataCol="0"/>
  <pivotFields>
    <pivotField name="kategoria" axis="axisRow" compact="0" outline="0" multipleItemSelectionAllowed="1" showAll="0" sortType="ascending">
      <items>
        <item x="0"/>
        <item x="7"/>
        <item x="2"/>
        <item x="3"/>
        <item x="4"/>
        <item x="5"/>
        <item x="9"/>
        <item x="10"/>
        <item x="1"/>
        <item x="8"/>
        <item x="6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.xml><?xml version="1.0" encoding="utf-8"?>
<pivotTableDefinition xmlns="http://schemas.openxmlformats.org/spreadsheetml/2006/main" name="wrzesien2025" cacheId="1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11"/>
        <item x="5"/>
        <item x="4"/>
        <item x="9"/>
        <item x="7"/>
        <item x="0"/>
        <item x="10"/>
        <item x="1"/>
        <item x="12"/>
        <item x="14"/>
        <item x="2"/>
        <item x="3"/>
        <item x="8"/>
        <item x="15"/>
        <item x="13"/>
        <item x="6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3.xml><?xml version="1.0" encoding="utf-8"?>
<pivotTableDefinition xmlns="http://schemas.openxmlformats.org/spreadsheetml/2006/main" name="sierpien2025" cacheId="2" dataCaption="" compact="0" compactData="0">
  <location ref="H7:I26" firstHeaderRow="0" firstDataRow="1" firstDataCol="0"/>
  <pivotFields>
    <pivotField name="kategoria" axis="axisRow" compact="0" outline="0" multipleItemSelectionAllowed="1" showAll="0" sortType="ascending">
      <items>
        <item x="0"/>
        <item x="7"/>
        <item x="1"/>
        <item x="3"/>
        <item x="13"/>
        <item x="11"/>
        <item x="14"/>
        <item x="9"/>
        <item x="8"/>
        <item x="5"/>
        <item x="4"/>
        <item x="12"/>
        <item x="10"/>
        <item x="2"/>
        <item x="15"/>
        <item x="16"/>
        <item x="17"/>
        <item x="6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4.xml><?xml version="1.0" encoding="utf-8"?>
<pivotTableDefinition xmlns="http://schemas.openxmlformats.org/spreadsheetml/2006/main" name="lipiec2025" cacheId="3" dataCaption="" compact="0" compactData="0">
  <location ref="H7:I27" firstHeaderRow="0" firstDataRow="1" firstDataCol="0"/>
  <pivotFields>
    <pivotField name="kategoria" axis="axisRow" compact="0" outline="0" multipleItemSelectionAllowed="1" showAll="0" sortType="ascending">
      <items>
        <item x="18"/>
        <item x="9"/>
        <item x="12"/>
        <item x="0"/>
        <item x="4"/>
        <item x="1"/>
        <item x="8"/>
        <item x="6"/>
        <item x="5"/>
        <item x="13"/>
        <item x="15"/>
        <item x="11"/>
        <item x="2"/>
        <item x="10"/>
        <item x="16"/>
        <item x="3"/>
        <item x="14"/>
        <item x="17"/>
        <item x="7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5.xml><?xml version="1.0" encoding="utf-8"?>
<pivotTableDefinition xmlns="http://schemas.openxmlformats.org/spreadsheetml/2006/main" name="czerwiec2025" cacheId="4" dataCaption="" compact="0" compactData="0">
  <location ref="H7:I24" firstHeaderRow="0" firstDataRow="1" firstDataCol="0"/>
  <pivotFields>
    <pivotField name="kategoria" axis="axisRow" compact="0" outline="0" multipleItemSelectionAllowed="1" showAll="0" sortType="ascending">
      <items>
        <item x="15"/>
        <item x="7"/>
        <item x="9"/>
        <item x="1"/>
        <item x="0"/>
        <item x="6"/>
        <item x="5"/>
        <item x="8"/>
        <item x="10"/>
        <item x="11"/>
        <item x="13"/>
        <item x="3"/>
        <item x="2"/>
        <item x="14"/>
        <item x="12"/>
        <item x="4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6.xml><?xml version="1.0" encoding="utf-8"?>
<pivotTableDefinition xmlns="http://schemas.openxmlformats.org/spreadsheetml/2006/main" name="maj2025" cacheId="5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6"/>
        <item x="1"/>
        <item x="5"/>
        <item x="10"/>
        <item x="7"/>
        <item x="0"/>
        <item x="11"/>
        <item x="12"/>
        <item x="13"/>
        <item x="8"/>
        <item x="9"/>
        <item x="2"/>
        <item x="3"/>
        <item x="14"/>
        <item x="15"/>
        <item x="4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7.xml><?xml version="1.0" encoding="utf-8"?>
<pivotTableDefinition xmlns="http://schemas.openxmlformats.org/spreadsheetml/2006/main" name="kwiecien2025" cacheId="6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6"/>
        <item x="4"/>
        <item x="11"/>
        <item x="5"/>
        <item x="3"/>
        <item x="2"/>
        <item x="1"/>
        <item x="8"/>
        <item x="12"/>
        <item x="14"/>
        <item x="7"/>
        <item x="9"/>
        <item x="10"/>
        <item x="13"/>
        <item x="15"/>
        <item x="0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8.xml><?xml version="1.0" encoding="utf-8"?>
<pivotTableDefinition xmlns="http://schemas.openxmlformats.org/spreadsheetml/2006/main" name="marzec2025" cacheId="7" dataCaption="" compact="0" compactData="0">
  <location ref="H7:I23" firstHeaderRow="0" firstDataRow="1" firstDataCol="0"/>
  <pivotFields>
    <pivotField name="kategoria" axis="axisRow" compact="0" outline="0" multipleItemSelectionAllowed="1" showAll="0" sortType="ascending">
      <items>
        <item x="0"/>
        <item x="3"/>
        <item x="5"/>
        <item x="2"/>
        <item x="1"/>
        <item x="10"/>
        <item x="8"/>
        <item x="6"/>
        <item x="14"/>
        <item x="11"/>
        <item x="7"/>
        <item x="9"/>
        <item x="12"/>
        <item x="13"/>
        <item x="4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9.xml><?xml version="1.0" encoding="utf-8"?>
<pivotTableDefinition xmlns="http://schemas.openxmlformats.org/spreadsheetml/2006/main" name="luty2025" cacheId="8" dataCaption="" compact="0" compactData="0">
  <location ref="H7:I27" firstHeaderRow="0" firstDataRow="1" firstDataCol="0"/>
  <pivotFields>
    <pivotField name="kategoria" axis="axisRow" compact="0" outline="0" multipleItemSelectionAllowed="1" showAll="0" sortType="ascending">
      <items>
        <item x="18"/>
        <item x="11"/>
        <item x="4"/>
        <item x="6"/>
        <item x="8"/>
        <item x="0"/>
        <item x="3"/>
        <item x="1"/>
        <item x="12"/>
        <item x="14"/>
        <item x="15"/>
        <item x="9"/>
        <item x="5"/>
        <item x="7"/>
        <item x="10"/>
        <item x="13"/>
        <item x="16"/>
        <item x="17"/>
        <item x="2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0.xml><?xml version="1.0" encoding="utf-8"?>
<pivotTableDefinition xmlns="http://schemas.openxmlformats.org/spreadsheetml/2006/main" name="styczen2025" cacheId="9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14"/>
        <item x="7"/>
        <item x="15"/>
        <item x="0"/>
        <item x="4"/>
        <item x="8"/>
        <item x="10"/>
        <item x="12"/>
        <item x="1"/>
        <item x="3"/>
        <item x="13"/>
        <item x="6"/>
        <item x="11"/>
        <item x="2"/>
        <item x="5"/>
        <item x="9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1.xml><?xml version="1.0" encoding="utf-8"?>
<pivotTableDefinition xmlns="http://schemas.openxmlformats.org/spreadsheetml/2006/main" name="grudzien2024" cacheId="10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2"/>
        <item x="0"/>
        <item x="6"/>
        <item x="5"/>
        <item x="2"/>
        <item x="8"/>
        <item x="3"/>
        <item x="1"/>
        <item x="13"/>
        <item x="15"/>
        <item x="10"/>
        <item x="4"/>
        <item x="7"/>
        <item x="11"/>
        <item x="16"/>
        <item x="14"/>
        <item x="9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2.xml><?xml version="1.0" encoding="utf-8"?>
<pivotTableDefinition xmlns="http://schemas.openxmlformats.org/spreadsheetml/2006/main" name="listopad2024" cacheId="11" dataCaption="" compact="0" compactData="0">
  <location ref="H7:I26" firstHeaderRow="0" firstDataRow="1" firstDataCol="0"/>
  <pivotFields>
    <pivotField name="kategoria" axis="axisRow" compact="0" outline="0" multipleItemSelectionAllowed="1" showAll="0" sortType="ascending">
      <items>
        <item x="17"/>
        <item x="11"/>
        <item x="3"/>
        <item x="5"/>
        <item x="1"/>
        <item x="0"/>
        <item x="15"/>
        <item x="9"/>
        <item x="7"/>
        <item x="4"/>
        <item x="13"/>
        <item x="2"/>
        <item x="16"/>
        <item x="14"/>
        <item x="8"/>
        <item x="12"/>
        <item x="10"/>
        <item x="6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3.xml><?xml version="1.0" encoding="utf-8"?>
<pivotTableDefinition xmlns="http://schemas.openxmlformats.org/spreadsheetml/2006/main" name="pazdziernik2024" cacheId="12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2"/>
        <item x="8"/>
        <item x="9"/>
        <item x="7"/>
        <item x="1"/>
        <item x="12"/>
        <item x="0"/>
        <item x="3"/>
        <item x="6"/>
        <item x="14"/>
        <item x="4"/>
        <item x="11"/>
        <item x="5"/>
        <item x="15"/>
        <item x="13"/>
        <item x="10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4.xml><?xml version="1.0" encoding="utf-8"?>
<pivotTableDefinition xmlns="http://schemas.openxmlformats.org/spreadsheetml/2006/main" name="wrzesien2024" cacheId="13" dataCaption="" compact="0" compactData="0">
  <location ref="H7:I24" firstHeaderRow="0" firstDataRow="1" firstDataCol="0"/>
  <pivotFields>
    <pivotField name="kategoria" axis="axisRow" compact="0" outline="0" multipleItemSelectionAllowed="1" showAll="0" sortType="ascending">
      <items>
        <item x="15"/>
        <item x="9"/>
        <item x="6"/>
        <item x="1"/>
        <item x="7"/>
        <item x="2"/>
        <item x="5"/>
        <item x="8"/>
        <item x="0"/>
        <item x="13"/>
        <item x="11"/>
        <item x="3"/>
        <item x="14"/>
        <item x="4"/>
        <item x="10"/>
        <item x="12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5.xml><?xml version="1.0" encoding="utf-8"?>
<pivotTableDefinition xmlns="http://schemas.openxmlformats.org/spreadsheetml/2006/main" name="sierpien2024" cacheId="14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9"/>
        <item x="0"/>
        <item x="7"/>
        <item x="1"/>
        <item x="2"/>
        <item x="6"/>
        <item x="3"/>
        <item x="8"/>
        <item x="10"/>
        <item x="13"/>
        <item x="4"/>
        <item x="14"/>
        <item x="5"/>
        <item x="11"/>
        <item x="12"/>
        <item x="15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6.xml><?xml version="1.0" encoding="utf-8"?>
<pivotTableDefinition xmlns="http://schemas.openxmlformats.org/spreadsheetml/2006/main" name="lipiec2024" cacheId="15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14"/>
        <item x="4"/>
        <item x="0"/>
        <item x="5"/>
        <item x="3"/>
        <item x="1"/>
        <item x="10"/>
        <item x="2"/>
        <item x="6"/>
        <item x="8"/>
        <item x="12"/>
        <item x="13"/>
        <item x="15"/>
        <item x="7"/>
        <item x="9"/>
        <item x="11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7.xml><?xml version="1.0" encoding="utf-8"?>
<pivotTableDefinition xmlns="http://schemas.openxmlformats.org/spreadsheetml/2006/main" name="czerwiec2024" cacheId="16" dataCaption="" compact="0" compactData="0">
  <location ref="H7:I24" firstHeaderRow="0" firstDataRow="1" firstDataCol="0"/>
  <pivotFields>
    <pivotField name="kategoria" axis="axisRow" compact="0" outline="0" multipleItemSelectionAllowed="1" showAll="0" sortType="ascending">
      <items>
        <item x="15"/>
        <item x="7"/>
        <item x="6"/>
        <item x="0"/>
        <item x="3"/>
        <item x="2"/>
        <item x="1"/>
        <item x="4"/>
        <item x="13"/>
        <item x="10"/>
        <item x="8"/>
        <item x="9"/>
        <item x="14"/>
        <item x="11"/>
        <item x="12"/>
        <item x="5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8.xml><?xml version="1.0" encoding="utf-8"?>
<pivotTableDefinition xmlns="http://schemas.openxmlformats.org/spreadsheetml/2006/main" name="maj2024" cacheId="17" dataCaption="" compact="0" compactData="0">
  <location ref="H7:I23" firstHeaderRow="0" firstDataRow="1" firstDataCol="0"/>
  <pivotFields>
    <pivotField name="kategoria" axis="axisRow" compact="0" outline="0" multipleItemSelectionAllowed="1" showAll="0" sortType="ascending">
      <items>
        <item x="14"/>
        <item x="7"/>
        <item x="0"/>
        <item x="3"/>
        <item x="2"/>
        <item x="5"/>
        <item x="12"/>
        <item x="11"/>
        <item x="4"/>
        <item x="1"/>
        <item x="9"/>
        <item x="13"/>
        <item x="10"/>
        <item x="8"/>
        <item x="6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19.xml><?xml version="1.0" encoding="utf-8"?>
<pivotTableDefinition xmlns="http://schemas.openxmlformats.org/spreadsheetml/2006/main" name="kwiecien2024" cacheId="18" dataCaption="" compact="0" compactData="0">
  <location ref="H7:I22" firstHeaderRow="0" firstDataRow="1" firstDataCol="0"/>
  <pivotFields>
    <pivotField name="kategoria" axis="axisRow" compact="0" outline="0" multipleItemSelectionAllowed="1" showAll="0" sortType="ascending">
      <items>
        <item x="13"/>
        <item x="3"/>
        <item x="0"/>
        <item x="4"/>
        <item x="1"/>
        <item x="6"/>
        <item x="5"/>
        <item x="9"/>
        <item x="10"/>
        <item x="7"/>
        <item x="8"/>
        <item x="12"/>
        <item x="11"/>
        <item x="2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0.xml><?xml version="1.0" encoding="utf-8"?>
<pivotTableDefinition xmlns="http://schemas.openxmlformats.org/spreadsheetml/2006/main" name="marzec2024" cacheId="19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7"/>
        <item x="5"/>
        <item x="0"/>
        <item x="4"/>
        <item x="2"/>
        <item x="6"/>
        <item x="14"/>
        <item x="1"/>
        <item x="9"/>
        <item x="12"/>
        <item x="15"/>
        <item x="10"/>
        <item x="3"/>
        <item x="13"/>
        <item x="11"/>
        <item x="8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1.xml><?xml version="1.0" encoding="utf-8"?>
<pivotTableDefinition xmlns="http://schemas.openxmlformats.org/spreadsheetml/2006/main" name="luty2024" cacheId="20" dataCaption="" compact="0" compactData="0">
  <location ref="H7:I26" firstHeaderRow="0" firstDataRow="1" firstDataCol="0"/>
  <pivotFields>
    <pivotField name="kategoria" axis="axisRow" compact="0" outline="0" multipleItemSelectionAllowed="1" showAll="0" sortType="ascending">
      <items>
        <item x="17"/>
        <item x="9"/>
        <item x="7"/>
        <item x="2"/>
        <item x="1"/>
        <item x="0"/>
        <item x="11"/>
        <item x="12"/>
        <item x="10"/>
        <item x="8"/>
        <item x="3"/>
        <item x="16"/>
        <item x="4"/>
        <item x="13"/>
        <item x="5"/>
        <item x="15"/>
        <item x="14"/>
        <item x="6"/>
        <item t="default"/>
      </items>
    </pivotField>
    <pivotField name="kwo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2.xml><?xml version="1.0" encoding="utf-8"?>
<pivotTableDefinition xmlns="http://schemas.openxmlformats.org/spreadsheetml/2006/main" name="styczen2024" cacheId="21" dataCaption="" compact="0" compactData="0">
  <location ref="H7:I24" firstHeaderRow="0" firstDataRow="1" firstDataCol="0"/>
  <pivotFields>
    <pivotField name="kategoria" axis="axisRow" compact="0" outline="0" multipleItemSelectionAllowed="1" showAll="0" sortType="ascending">
      <items>
        <item x="15"/>
        <item x="13"/>
        <item x="3"/>
        <item x="0"/>
        <item x="4"/>
        <item x="6"/>
        <item x="12"/>
        <item x="14"/>
        <item x="2"/>
        <item x="8"/>
        <item x="9"/>
        <item x="7"/>
        <item x="1"/>
        <item x="10"/>
        <item x="11"/>
        <item x="5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3.xml><?xml version="1.0" encoding="utf-8"?>
<pivotTableDefinition xmlns="http://schemas.openxmlformats.org/spreadsheetml/2006/main" name="grudzien2023" cacheId="22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15"/>
        <item x="1"/>
        <item x="3"/>
        <item x="2"/>
        <item x="9"/>
        <item x="13"/>
        <item x="14"/>
        <item x="12"/>
        <item x="0"/>
        <item x="4"/>
        <item x="7"/>
        <item x="5"/>
        <item x="11"/>
        <item x="6"/>
        <item x="8"/>
        <item x="10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4.xml><?xml version="1.0" encoding="utf-8"?>
<pivotTableDefinition xmlns="http://schemas.openxmlformats.org/spreadsheetml/2006/main" name="listopad2023" cacheId="23" dataCaption="" compact="0" compactData="0">
  <location ref="H7:I28" firstHeaderRow="0" firstDataRow="1" firstDataCol="0"/>
  <pivotFields>
    <pivotField name="kategoria" axis="axisRow" compact="0" outline="0" multipleItemSelectionAllowed="1" showAll="0" sortType="ascending">
      <items>
        <item x="19"/>
        <item x="18"/>
        <item x="1"/>
        <item x="5"/>
        <item x="3"/>
        <item x="4"/>
        <item x="7"/>
        <item x="14"/>
        <item x="8"/>
        <item x="0"/>
        <item x="2"/>
        <item x="12"/>
        <item x="16"/>
        <item x="17"/>
        <item x="9"/>
        <item x="10"/>
        <item x="15"/>
        <item x="13"/>
        <item x="11"/>
        <item x="6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5.xml><?xml version="1.0" encoding="utf-8"?>
<pivotTableDefinition xmlns="http://schemas.openxmlformats.org/spreadsheetml/2006/main" name="pazdziernik2023" cacheId="24" dataCaption="" compact="0" compactData="0">
  <location ref="H7:I23" firstHeaderRow="0" firstDataRow="1" firstDataCol="0"/>
  <pivotFields>
    <pivotField name="kategoria" axis="axisRow" compact="0" outline="0" multipleItemSelectionAllowed="1" showAll="0" sortType="ascending">
      <items>
        <item x="14"/>
        <item x="12"/>
        <item x="4"/>
        <item x="2"/>
        <item x="1"/>
        <item x="3"/>
        <item x="11"/>
        <item x="5"/>
        <item x="0"/>
        <item x="9"/>
        <item x="6"/>
        <item x="7"/>
        <item x="10"/>
        <item x="8"/>
        <item x="13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6.xml><?xml version="1.0" encoding="utf-8"?>
<pivotTableDefinition xmlns="http://schemas.openxmlformats.org/spreadsheetml/2006/main" name="wrzesien2023" cacheId="25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2"/>
        <item x="8"/>
        <item x="3"/>
        <item x="9"/>
        <item x="0"/>
        <item x="15"/>
        <item x="10"/>
        <item x="1"/>
        <item x="6"/>
        <item x="7"/>
        <item x="13"/>
        <item x="4"/>
        <item x="11"/>
        <item x="14"/>
        <item x="12"/>
        <item x="5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7.xml><?xml version="1.0" encoding="utf-8"?>
<pivotTableDefinition xmlns="http://schemas.openxmlformats.org/spreadsheetml/2006/main" name="sierpien2023" cacheId="26" dataCaption="" compact="0" compactData="0">
  <location ref="H7:I24" firstHeaderRow="0" firstDataRow="1" firstDataCol="0"/>
  <pivotFields>
    <pivotField name="kategoria" axis="axisRow" compact="0" outline="0" multipleItemSelectionAllowed="1" showAll="0" sortType="ascending">
      <items>
        <item x="15"/>
        <item x="4"/>
        <item x="8"/>
        <item x="2"/>
        <item x="6"/>
        <item x="0"/>
        <item x="1"/>
        <item x="13"/>
        <item x="7"/>
        <item x="5"/>
        <item x="9"/>
        <item x="12"/>
        <item x="14"/>
        <item x="3"/>
        <item x="10"/>
        <item x="11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8.xml><?xml version="1.0" encoding="utf-8"?>
<pivotTableDefinition xmlns="http://schemas.openxmlformats.org/spreadsheetml/2006/main" name="lipiec2023" cacheId="27" dataCaption="" compact="0" compactData="0">
  <location ref="H7:I25" firstHeaderRow="0" firstDataRow="1" firstDataCol="0"/>
  <pivotFields>
    <pivotField name="kategoria" axis="axisRow" compact="0" outline="0" multipleItemSelectionAllowed="1" showAll="0" sortType="ascending">
      <items>
        <item x="16"/>
        <item x="4"/>
        <item x="7"/>
        <item x="8"/>
        <item x="1"/>
        <item x="2"/>
        <item x="6"/>
        <item x="11"/>
        <item x="9"/>
        <item x="0"/>
        <item x="12"/>
        <item x="3"/>
        <item x="10"/>
        <item x="14"/>
        <item x="13"/>
        <item x="15"/>
        <item x="5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29.xml><?xml version="1.0" encoding="utf-8"?>
<pivotTableDefinition xmlns="http://schemas.openxmlformats.org/spreadsheetml/2006/main" name="czerwiec2023" cacheId="28" dataCaption="" compact="0" compactData="0">
  <location ref="H10:I27" firstHeaderRow="0" firstDataRow="1" firstDataCol="0"/>
  <pivotFields>
    <pivotField name="kategoria" axis="axisRow" compact="0" outline="0" multipleItemSelectionAllowed="1" showAll="0" sortType="ascending">
      <items>
        <item x="15"/>
        <item x="5"/>
        <item x="4"/>
        <item x="1"/>
        <item x="2"/>
        <item x="0"/>
        <item x="6"/>
        <item x="13"/>
        <item x="3"/>
        <item x="10"/>
        <item x="8"/>
        <item x="12"/>
        <item x="7"/>
        <item x="9"/>
        <item x="11"/>
        <item x="14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30.xml><?xml version="1.0" encoding="utf-8"?>
<pivotTableDefinition xmlns="http://schemas.openxmlformats.org/spreadsheetml/2006/main" name="kwiecien2023" cacheId="29" dataCaption="" compact="0" compactData="0">
  <location ref="F12:G30" firstHeaderRow="0" firstDataRow="1" firstDataCol="0"/>
  <pivotFields>
    <pivotField name="kategoria" axis="axisRow" compact="0" outline="0" multipleItemSelectionAllowed="1" showAll="0" sortType="ascending">
      <items>
        <item x="8"/>
        <item x="5"/>
        <item x="3"/>
        <item x="9"/>
        <item x="1"/>
        <item x="7"/>
        <item x="10"/>
        <item x="6"/>
        <item x="2"/>
        <item x="0"/>
        <item x="15"/>
        <item x="13"/>
        <item x="11"/>
        <item x="12"/>
        <item x="14"/>
        <item x="16"/>
        <item x="4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31.xml><?xml version="1.0" encoding="utf-8"?>
<pivotTableDefinition xmlns="http://schemas.openxmlformats.org/spreadsheetml/2006/main" name="marzec2023" cacheId="30" dataCaption="" compact="0" compactData="0">
  <location ref="I56:J73" firstHeaderRow="0" firstDataRow="1" firstDataCol="0"/>
  <pivotFields>
    <pivotField name="kategoria" axis="axisRow" compact="0" outline="0" multipleItemSelectionAllowed="1" showAll="0" sortType="ascending">
      <items>
        <item x="12"/>
        <item x="2"/>
        <item x="5"/>
        <item x="1"/>
        <item x="6"/>
        <item x="13"/>
        <item x="15"/>
        <item x="4"/>
        <item x="0"/>
        <item x="3"/>
        <item x="9"/>
        <item x="8"/>
        <item x="14"/>
        <item x="10"/>
        <item x="11"/>
        <item x="7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</pivotFields>
  <rowFields>
    <field x="0"/>
  </rowFields>
  <dataFields>
    <dataField name="SUM of kwota" fld="1" baseField="0"/>
  </dataFields>
</pivotTableDefinition>
</file>

<file path=xl/pivotTables/pivotTable32.xml><?xml version="1.0" encoding="utf-8"?>
<pivotTableDefinition xmlns="http://schemas.openxmlformats.org/spreadsheetml/2006/main" name="styczen2023" cacheId="31" dataCaption="" compact="0" compactData="0">
  <location ref="G26:H43" firstHeaderRow="0" firstDataRow="1" firstDataCol="0"/>
  <pivotFields>
    <pivotField name="kategoria" axis="axisRow" compact="0" outline="0" multipleItemSelectionAllowed="1" showAll="0" sortType="ascending">
      <items>
        <item x="15"/>
        <item x="13"/>
        <item x="5"/>
        <item x="4"/>
        <item x="7"/>
        <item x="2"/>
        <item x="6"/>
        <item x="9"/>
        <item x="8"/>
        <item x="3"/>
        <item x="0"/>
        <item x="12"/>
        <item x="14"/>
        <item x="11"/>
        <item x="10"/>
        <item x="1"/>
        <item t="default"/>
      </items>
    </pivotField>
    <pivotField name="kwota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</pivotFields>
  <rowFields>
    <field x="0"/>
  </rowFields>
  <dataFields>
    <dataField name="SUM of kwota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0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1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4.xm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6.xm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7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0.xm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1.xml"/><Relationship Id="rId2" Type="http://schemas.openxmlformats.org/officeDocument/2006/relationships/hyperlink" Target="http://pyszne.pl/" TargetMode="External"/><Relationship Id="rId3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2.xm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3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4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5.xml"/><Relationship Id="rId2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6.xml"/><Relationship Id="rId2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7.xml"/><Relationship Id="rId2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8.xml"/><Relationship Id="rId2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9.xml"/><Relationship Id="rId2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0.xml"/><Relationship Id="rId2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1.xml"/><Relationship Id="rId2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2.xm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38"/>
    <col customWidth="1" min="14" max="14" width="14.88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N1" s="1" t="s">
        <v>5</v>
      </c>
    </row>
    <row r="2">
      <c r="A2" s="1" t="s">
        <v>6</v>
      </c>
      <c r="B2" s="2">
        <f>SUM(lipiec!B3:B90)</f>
        <v>13428.1</v>
      </c>
      <c r="C2" s="2">
        <f>SUM(lipiec!E3:E23)</f>
        <v>17932.17</v>
      </c>
      <c r="D2" s="2">
        <f>MINUS(C2 + lipiec!G3, B2)</f>
        <v>20014.07</v>
      </c>
      <c r="E2" s="2">
        <f>B2 - lipiec!J1</f>
        <v>4826.1</v>
      </c>
      <c r="F2" s="2">
        <f t="shared" ref="F2:F65" si="1">C2-B2</f>
        <v>4504.07</v>
      </c>
      <c r="N2" s="3">
        <f t="shared" ref="N2:N65" si="2">IF(F2 &gt; 0, LOG10(F2),0)</f>
        <v>3.653605131</v>
      </c>
    </row>
    <row r="3">
      <c r="A3" s="1" t="s">
        <v>7</v>
      </c>
      <c r="B3" s="2">
        <f>SUM('sierpień'!$B$3:$B$100)</f>
        <v>12007.07</v>
      </c>
      <c r="C3" s="2">
        <f>SUM('sierpień'!$E$3:$E$24)</f>
        <v>17589</v>
      </c>
      <c r="D3" s="2">
        <f>MINUS(C3 + 'sierpień'!$G$3, $B3)</f>
        <v>25596</v>
      </c>
      <c r="E3" s="2">
        <f>B3 - 'sierpień'!$J$1</f>
        <v>3929.07</v>
      </c>
      <c r="F3" s="2">
        <f t="shared" si="1"/>
        <v>5581.93</v>
      </c>
      <c r="N3" s="3">
        <f t="shared" si="2"/>
        <v>3.746784386</v>
      </c>
    </row>
    <row r="4">
      <c r="A4" s="1" t="s">
        <v>8</v>
      </c>
      <c r="B4" s="2">
        <f>SUM('wrzesień'!$B$3:$B$100)</f>
        <v>11402</v>
      </c>
      <c r="C4" s="2">
        <f>SUM('wrzesień'!$E$3:$E$24)</f>
        <v>13591</v>
      </c>
      <c r="D4" s="2">
        <f>MINUS(C4 + 'wrzesień'!$G$3, $B4)</f>
        <v>27785</v>
      </c>
      <c r="E4" s="2">
        <f>B4 - 'wrzesień'!$J$1</f>
        <v>3612</v>
      </c>
      <c r="F4" s="2">
        <f t="shared" si="1"/>
        <v>2189</v>
      </c>
      <c r="N4" s="3">
        <f t="shared" si="2"/>
        <v>3.340245762</v>
      </c>
    </row>
    <row r="5">
      <c r="A5" s="1" t="s">
        <v>9</v>
      </c>
      <c r="B5" s="2">
        <f>SUM('październik'!$B$3:$B$100)</f>
        <v>14783</v>
      </c>
      <c r="C5" s="2">
        <f>SUM('październik'!$E$3:$E$24)</f>
        <v>17972</v>
      </c>
      <c r="D5" s="2">
        <f>MINUS(C5 + 'październik'!$G$3, $B5)</f>
        <v>30974</v>
      </c>
      <c r="E5" s="2">
        <f>B5 - 'październik'!$J$1</f>
        <v>4936</v>
      </c>
      <c r="F5" s="2">
        <f t="shared" si="1"/>
        <v>3189</v>
      </c>
      <c r="N5" s="3">
        <f t="shared" si="2"/>
        <v>3.503654519</v>
      </c>
    </row>
    <row r="6">
      <c r="A6" s="1" t="s">
        <v>10</v>
      </c>
      <c r="B6" s="2">
        <f>SUM(listopad!$B$3:$B$100)</f>
        <v>18573</v>
      </c>
      <c r="C6" s="2">
        <f>SUM(listopad!$F$3:$F$24)</f>
        <v>17637</v>
      </c>
      <c r="D6" s="2">
        <f>MINUS(C6 + listopad!$H$3, $B6)</f>
        <v>30038</v>
      </c>
      <c r="E6" s="2">
        <f>B6 - listopad!$K$1</f>
        <v>10447</v>
      </c>
      <c r="F6" s="2">
        <f t="shared" si="1"/>
        <v>-936</v>
      </c>
      <c r="N6" s="3">
        <f t="shared" si="2"/>
        <v>0</v>
      </c>
    </row>
    <row r="7">
      <c r="A7" s="1" t="s">
        <v>11</v>
      </c>
      <c r="B7" s="2">
        <f>SUM('grudzień'!$B$3:$B$101)</f>
        <v>16046</v>
      </c>
      <c r="C7" s="2">
        <f>SUM('grudzień'!$F$3:$F$24)</f>
        <v>21955.62</v>
      </c>
      <c r="D7" s="2">
        <f>MINUS(C7 + 'grudzień'!$H$3, $B7)</f>
        <v>35947.62</v>
      </c>
      <c r="E7" s="2">
        <f>B7 - 'grudzień'!$K$1</f>
        <v>10965</v>
      </c>
      <c r="F7" s="2">
        <f t="shared" si="1"/>
        <v>5909.62</v>
      </c>
      <c r="N7" s="3">
        <f t="shared" si="2"/>
        <v>3.771559556</v>
      </c>
    </row>
    <row r="8">
      <c r="A8" s="1" t="s">
        <v>12</v>
      </c>
      <c r="B8" s="2">
        <f>SUM('styczeń'!$B$3:$B$101)</f>
        <v>10262</v>
      </c>
      <c r="C8" s="2">
        <f>SUM('styczeń'!$F$3:$F$24)</f>
        <v>16873.14</v>
      </c>
      <c r="D8" s="2">
        <f>MINUS(C8 + 'styczeń'!$H$3, $B8)</f>
        <v>42558.76</v>
      </c>
      <c r="E8" s="2">
        <f>B8 - 'styczeń'!$K$1</f>
        <v>3714</v>
      </c>
      <c r="F8" s="2">
        <f t="shared" si="1"/>
        <v>6611.14</v>
      </c>
      <c r="N8" s="3">
        <f t="shared" si="2"/>
        <v>3.820276354</v>
      </c>
    </row>
    <row r="9">
      <c r="A9" s="1" t="s">
        <v>13</v>
      </c>
      <c r="B9" s="2">
        <f>SUM(luty2021!$B$3:$B$101)</f>
        <v>13917</v>
      </c>
      <c r="C9" s="2">
        <f>SUM(luty2021!$F$3:$F$24)</f>
        <v>16038.41</v>
      </c>
      <c r="D9" s="2">
        <f>MINUS(C9 + luty2021!$H$3, $B9)</f>
        <v>44680.17</v>
      </c>
      <c r="E9" s="2">
        <f>B9 - luty2021!$K$1</f>
        <v>7947</v>
      </c>
      <c r="F9" s="2">
        <f t="shared" si="1"/>
        <v>2121.41</v>
      </c>
      <c r="N9" s="3">
        <f t="shared" si="2"/>
        <v>3.326624612</v>
      </c>
    </row>
    <row r="10">
      <c r="A10" s="1" t="s">
        <v>14</v>
      </c>
      <c r="B10" s="2">
        <f>SUM(marzec2021!$B$3:$B$101)</f>
        <v>12114</v>
      </c>
      <c r="C10" s="2">
        <f>SUM(marzec2021!$F$3:$F$24)</f>
        <v>16050.52</v>
      </c>
      <c r="D10" s="2">
        <f>MINUS(C10 + marzec2021!$H$3, $B10)</f>
        <v>48616.69</v>
      </c>
      <c r="E10" s="2">
        <f>B10 - marzec2021!$K$1</f>
        <v>5880</v>
      </c>
      <c r="F10" s="2">
        <f t="shared" si="1"/>
        <v>3936.52</v>
      </c>
      <c r="N10" s="3">
        <f t="shared" si="2"/>
        <v>3.595112462</v>
      </c>
    </row>
    <row r="11">
      <c r="A11" s="1" t="s">
        <v>15</v>
      </c>
      <c r="B11" s="2">
        <f>SUM('kwiecień2021'!$B$3:$B$101)</f>
        <v>14279.2</v>
      </c>
      <c r="C11" s="2">
        <f>SUM('kwiecień2021'!$F$3:$F$24)</f>
        <v>21303</v>
      </c>
      <c r="D11" s="2">
        <f>MINUS(C11 + 'kwiecień2021'!$H$3, $B11)</f>
        <v>55640.49</v>
      </c>
      <c r="E11" s="2">
        <f>B11 - 'kwiecień2021'!$K$1</f>
        <v>5432.2</v>
      </c>
      <c r="F11" s="2">
        <f t="shared" si="1"/>
        <v>7023.8</v>
      </c>
      <c r="N11" s="3">
        <f t="shared" si="2"/>
        <v>3.846572137</v>
      </c>
    </row>
    <row r="12">
      <c r="A12" s="4">
        <v>44317.0</v>
      </c>
      <c r="B12" s="2">
        <f>SUM('maj2021'!$B$3:$B$101)</f>
        <v>19423</v>
      </c>
      <c r="C12" s="2">
        <f>SUM('maj2021'!$F$3:$F$24)</f>
        <v>20368.8</v>
      </c>
      <c r="D12" s="2">
        <f>MINUS(C12 + 'maj2021'!$H$3, $B12)</f>
        <v>56586.29</v>
      </c>
      <c r="E12" s="2">
        <f>B12 - 'maj2021'!$K$1</f>
        <v>11945</v>
      </c>
      <c r="F12" s="2">
        <f t="shared" si="1"/>
        <v>945.8</v>
      </c>
      <c r="N12" s="3">
        <f t="shared" si="2"/>
        <v>2.97579931</v>
      </c>
    </row>
    <row r="13">
      <c r="A13" s="4">
        <v>44348.0</v>
      </c>
      <c r="B13" s="2">
        <f>SUM(czerwiec2021!$B$3:$B$101)</f>
        <v>16507</v>
      </c>
      <c r="C13" s="2">
        <f>SUM(czerwiec2021!$F$3:$F$24)</f>
        <v>25066</v>
      </c>
      <c r="D13" s="2">
        <f>MINUS(C13 + czerwiec2021!$H$3, $B13)</f>
        <v>65145.29</v>
      </c>
      <c r="E13" s="2">
        <f>B13 - czerwiec2021!$K$1</f>
        <v>5630</v>
      </c>
      <c r="F13" s="2">
        <f t="shared" si="1"/>
        <v>8559</v>
      </c>
      <c r="N13" s="3">
        <f t="shared" si="2"/>
        <v>3.932423026</v>
      </c>
    </row>
    <row r="14">
      <c r="A14" s="4">
        <v>44378.0</v>
      </c>
      <c r="B14" s="2">
        <f>SUM(lipiec2021!$B$3:$B$101)</f>
        <v>14228</v>
      </c>
      <c r="C14" s="2">
        <f>SUM(lipiec2021!$F$3:$F$24)</f>
        <v>20368</v>
      </c>
      <c r="D14" s="2">
        <f>MINUS(C14 + lipiec2021!$H$3, $B14)</f>
        <v>71285.29</v>
      </c>
      <c r="E14" s="2">
        <f>B14 - lipiec2021!$K$1</f>
        <v>4342</v>
      </c>
      <c r="F14" s="2">
        <f t="shared" si="1"/>
        <v>6140</v>
      </c>
      <c r="N14" s="3">
        <f t="shared" si="2"/>
        <v>3.788168371</v>
      </c>
    </row>
    <row r="15">
      <c r="A15" s="4">
        <v>44409.0</v>
      </c>
      <c r="B15" s="2">
        <f>SUM('sierpień2021'!$B$3:$B$101)</f>
        <v>17061</v>
      </c>
      <c r="C15" s="2">
        <f>SUM('sierpień2021'!$F$3:$F$24)</f>
        <v>19750</v>
      </c>
      <c r="D15" s="2">
        <f>MINUS(C15 + 'sierpień2021'!$H$3, $B15)</f>
        <v>73974.29</v>
      </c>
      <c r="E15" s="2">
        <f>B15 - 'sierpień2021'!$K$1</f>
        <v>8823</v>
      </c>
      <c r="F15" s="2">
        <f t="shared" si="1"/>
        <v>2689</v>
      </c>
      <c r="N15" s="3">
        <f t="shared" si="2"/>
        <v>3.429590802</v>
      </c>
    </row>
    <row r="16">
      <c r="A16" s="4">
        <v>44440.0</v>
      </c>
      <c r="B16" s="2">
        <f>SUM('wrzesień2021'!$B$3:$B$101)</f>
        <v>16055</v>
      </c>
      <c r="C16" s="2">
        <f>SUM('wrzesień2021'!$F$3:$F$24)</f>
        <v>17527</v>
      </c>
      <c r="D16" s="2">
        <f>MINUS(C16 + 'wrzesień2021'!$H$3, $B16)</f>
        <v>75446.29</v>
      </c>
      <c r="E16" s="2">
        <f>B16 - 'wrzesień2021'!$K$1</f>
        <v>8672</v>
      </c>
      <c r="F16" s="2">
        <f t="shared" si="1"/>
        <v>1472</v>
      </c>
      <c r="N16" s="3">
        <f t="shared" si="2"/>
        <v>3.16790781</v>
      </c>
    </row>
    <row r="17">
      <c r="A17" s="4">
        <v>44470.0</v>
      </c>
      <c r="B17" s="2">
        <f>SUM('październik2021'!$B$3:$B$101)</f>
        <v>19628</v>
      </c>
      <c r="C17" s="2">
        <f>SUM('październik2021'!$F$3:$F$24)</f>
        <v>19710</v>
      </c>
      <c r="D17" s="2">
        <f>MINUS(C17 + 'październik2021'!$H$3, $B17)</f>
        <v>75528.29</v>
      </c>
      <c r="E17" s="2">
        <f>B17 - 'październik2021'!$K$1</f>
        <v>12018</v>
      </c>
      <c r="F17" s="2">
        <f t="shared" si="1"/>
        <v>82</v>
      </c>
      <c r="N17" s="3">
        <f t="shared" si="2"/>
        <v>1.913813852</v>
      </c>
    </row>
    <row r="18">
      <c r="A18" s="4">
        <v>44501.0</v>
      </c>
      <c r="B18" s="2">
        <f>SUM(listopad2021!$B$3:$B$101)</f>
        <v>16500</v>
      </c>
      <c r="C18" s="2">
        <f>SUM(listopad2021!$F$3:$F$24)</f>
        <v>18304</v>
      </c>
      <c r="D18" s="2">
        <f>MINUS(C18 + listopad2021!$H$3, $B18)</f>
        <v>77332.29</v>
      </c>
      <c r="E18" s="2">
        <f>B18 - listopad2021!$K$1</f>
        <v>10148</v>
      </c>
      <c r="F18" s="2">
        <f t="shared" si="1"/>
        <v>1804</v>
      </c>
      <c r="N18" s="3">
        <f t="shared" si="2"/>
        <v>3.256236533</v>
      </c>
    </row>
    <row r="19">
      <c r="A19" s="4">
        <v>44531.0</v>
      </c>
      <c r="B19" s="2">
        <f>SUM('grudzień2021'!$B$3:$B$101)</f>
        <v>22346</v>
      </c>
      <c r="C19" s="2">
        <f>SUM('grudzień2021'!$F$3:$F$24)</f>
        <v>22032</v>
      </c>
      <c r="D19" s="2">
        <f>MINUS(C19 + 'grudzień2021'!$H$3, $B19)</f>
        <v>77018.29</v>
      </c>
      <c r="E19" s="2">
        <f>B19 - 'grudzień2021'!$K$1</f>
        <v>13499</v>
      </c>
      <c r="F19" s="2">
        <f t="shared" si="1"/>
        <v>-314</v>
      </c>
      <c r="N19" s="3">
        <f t="shared" si="2"/>
        <v>0</v>
      </c>
    </row>
    <row r="20">
      <c r="A20" s="4">
        <v>44562.0</v>
      </c>
      <c r="B20" s="2">
        <f>SUM('styczeń2022'!$B$3:$B$100)</f>
        <v>20011</v>
      </c>
      <c r="C20" s="2">
        <f>SUM('styczeń2022'!$F$3:$F$24)</f>
        <v>23873</v>
      </c>
      <c r="D20" s="2">
        <f>MINUS(C20 + 'styczeń2022'!$H$3, $B20)</f>
        <v>80880.29</v>
      </c>
      <c r="E20" s="2">
        <f>B20 - 'styczeń2022'!$K$1</f>
        <v>9765</v>
      </c>
      <c r="F20" s="2">
        <f t="shared" si="1"/>
        <v>3862</v>
      </c>
      <c r="N20" s="3">
        <f t="shared" si="2"/>
        <v>3.586812269</v>
      </c>
    </row>
    <row r="21">
      <c r="A21" s="4">
        <v>44593.0</v>
      </c>
      <c r="B21" s="2">
        <f>SUM(luty2022!$B$3:$B$100)</f>
        <v>26135</v>
      </c>
      <c r="C21" s="2">
        <f>SUM(luty2022!$F$3:$F$24)</f>
        <v>21708</v>
      </c>
      <c r="D21" s="2">
        <f>MINUS(C21 + luty2022!$H$3, $B21)</f>
        <v>76453.29</v>
      </c>
      <c r="E21" s="2">
        <f>B21 - luty2022!$K$1</f>
        <v>17483</v>
      </c>
      <c r="F21" s="2">
        <f t="shared" si="1"/>
        <v>-4427</v>
      </c>
      <c r="N21" s="3">
        <f t="shared" si="2"/>
        <v>0</v>
      </c>
    </row>
    <row r="22">
      <c r="A22" s="4">
        <v>44622.0</v>
      </c>
      <c r="B22" s="2">
        <f>SUM(marzec2022!$B$3:$B$100)</f>
        <v>13063</v>
      </c>
      <c r="C22" s="2">
        <f>SUM(marzec2022!$F$3:$F$24)</f>
        <v>16800</v>
      </c>
      <c r="D22" s="2">
        <f>MINUS(C22 + marzec2022!$H$3, $B22)</f>
        <v>80190.29</v>
      </c>
      <c r="E22" s="2">
        <f>B22 - marzec2022!$K$1</f>
        <v>6001</v>
      </c>
      <c r="F22" s="2">
        <f t="shared" si="1"/>
        <v>3737</v>
      </c>
      <c r="N22" s="3">
        <f t="shared" si="2"/>
        <v>3.572523098</v>
      </c>
    </row>
    <row r="23">
      <c r="A23" s="4">
        <v>44654.0</v>
      </c>
      <c r="B23" s="2">
        <f>SUM('kwiecień2022'!$B$3:$B$100)</f>
        <v>18726</v>
      </c>
      <c r="C23" s="2">
        <f>SUM('kwiecień2022'!$F$3:$F$24)</f>
        <v>21050</v>
      </c>
      <c r="D23" s="2">
        <f>MINUS(C23 + 'kwiecień2022'!$H$3, $B23)</f>
        <v>82514.29</v>
      </c>
      <c r="E23" s="2">
        <f>B23 - 'kwiecień2022'!$K$1</f>
        <v>12331</v>
      </c>
      <c r="F23" s="2">
        <f t="shared" si="1"/>
        <v>2324</v>
      </c>
      <c r="N23" s="3">
        <f t="shared" si="2"/>
        <v>3.366236124</v>
      </c>
    </row>
    <row r="24">
      <c r="A24" s="4">
        <v>44682.0</v>
      </c>
      <c r="B24" s="2">
        <f>SUM('maj2022'!$B$3:$B$100)</f>
        <v>41614</v>
      </c>
      <c r="C24" s="2">
        <f>SUM('maj2022'!$F$3:$F$24)</f>
        <v>18236</v>
      </c>
      <c r="D24" s="2">
        <f>MINUS(C24 + 'maj2022'!$H$3, $B24)</f>
        <v>59136.29</v>
      </c>
      <c r="E24" s="2">
        <f>B24 - 'maj2022'!$K$1</f>
        <v>34112</v>
      </c>
      <c r="F24" s="2">
        <f t="shared" si="1"/>
        <v>-23378</v>
      </c>
      <c r="N24" s="3">
        <f t="shared" si="2"/>
        <v>0</v>
      </c>
    </row>
    <row r="25">
      <c r="A25" s="1" t="s">
        <v>16</v>
      </c>
      <c r="B25" s="2">
        <f>SUM(czerwiec2022!$B$3:$B$100)</f>
        <v>14297</v>
      </c>
      <c r="C25" s="2">
        <f>SUM(czerwiec2022!$F$3:$F$24)</f>
        <v>22880</v>
      </c>
      <c r="D25" s="2">
        <f>MINUS(C25 + czerwiec2022!$H$3, $B25)</f>
        <v>67719.29</v>
      </c>
      <c r="E25" s="2">
        <f>B25 - czerwiec2022!$K$1</f>
        <v>7149</v>
      </c>
      <c r="F25" s="2">
        <f t="shared" si="1"/>
        <v>8583</v>
      </c>
      <c r="N25" s="3">
        <f t="shared" si="2"/>
        <v>3.933639113</v>
      </c>
    </row>
    <row r="26">
      <c r="A26" s="1" t="s">
        <v>17</v>
      </c>
      <c r="B26" s="2">
        <f>SUM(lipiec2022!$B$3:$B$100)</f>
        <v>18695.29</v>
      </c>
      <c r="C26" s="2">
        <f>SUM(lipiec2022!$F$3:$F$24)</f>
        <v>23464</v>
      </c>
      <c r="D26" s="2">
        <f>MINUS(C26 + lipiec2022!$H$3, $B26)</f>
        <v>72488</v>
      </c>
      <c r="E26" s="2">
        <f>B26 - lipiec2022!$K$1</f>
        <v>11830.29</v>
      </c>
      <c r="F26" s="2">
        <f t="shared" si="1"/>
        <v>4768.71</v>
      </c>
      <c r="N26" s="3">
        <f t="shared" si="2"/>
        <v>3.678400912</v>
      </c>
    </row>
    <row r="27">
      <c r="A27" s="1" t="s">
        <v>18</v>
      </c>
      <c r="B27" s="2">
        <f>SUM(sierpien2022!$B$3:$B$96)</f>
        <v>22741</v>
      </c>
      <c r="C27" s="2">
        <f>SUM(sierpien2022!$F$3:$F$24)</f>
        <v>23489</v>
      </c>
      <c r="D27" s="2">
        <f>MINUS(C27 + sierpien2022!$H$3, $B27)</f>
        <v>73236</v>
      </c>
      <c r="E27" s="2">
        <f>B27 - sierpien2022!$K$1</f>
        <v>16055</v>
      </c>
      <c r="F27" s="2">
        <f t="shared" si="1"/>
        <v>748</v>
      </c>
      <c r="N27" s="3">
        <f t="shared" si="2"/>
        <v>2.873901598</v>
      </c>
    </row>
    <row r="28">
      <c r="A28" s="1" t="s">
        <v>19</v>
      </c>
      <c r="B28" s="2">
        <f>SUM(wrzesien2022!$B$3:$B$100)</f>
        <v>16497</v>
      </c>
      <c r="C28" s="2">
        <f>SUM(wrzesien2022!$F$3:$F$24)</f>
        <v>23099</v>
      </c>
      <c r="D28" s="2">
        <f>MINUS(C28 + wrzesien2022!$H$3, $B28)</f>
        <v>79838</v>
      </c>
      <c r="E28" s="2">
        <f>B28 - wrzesien2022!$K$1</f>
        <v>7691</v>
      </c>
      <c r="F28" s="2">
        <f t="shared" si="1"/>
        <v>6602</v>
      </c>
      <c r="N28" s="3">
        <f t="shared" si="2"/>
        <v>3.81967552</v>
      </c>
    </row>
    <row r="29">
      <c r="A29" s="1" t="s">
        <v>20</v>
      </c>
      <c r="B29" s="2">
        <f>SUM(pazdziernik2022!$B$3:$B$100)</f>
        <v>17791</v>
      </c>
      <c r="C29" s="2">
        <f>SUM(pazdziernik2022!$F$3:$F$24)</f>
        <v>26340</v>
      </c>
      <c r="D29" s="2">
        <f>MINUS(C29 + pazdziernik2022!$H$3, $B29)</f>
        <v>88387</v>
      </c>
      <c r="E29" s="2">
        <f>B29 - pazdziernik2022!$K$1</f>
        <v>9148</v>
      </c>
      <c r="F29" s="2">
        <f t="shared" si="1"/>
        <v>8549</v>
      </c>
      <c r="N29" s="3">
        <f t="shared" si="2"/>
        <v>3.931915317</v>
      </c>
    </row>
    <row r="30">
      <c r="A30" s="1" t="s">
        <v>21</v>
      </c>
      <c r="B30" s="2">
        <f>SUM(listopad2022!$B$3:$B$100)</f>
        <v>17998</v>
      </c>
      <c r="C30" s="2">
        <f>SUM(listopad2022!$F$3:$F$24)</f>
        <v>22111</v>
      </c>
      <c r="D30" s="2">
        <f>MINUS(C30 + listopad2022!$H$3, $B30)</f>
        <v>92500</v>
      </c>
      <c r="E30" s="2">
        <f>B30 - listopad2022!$K$1</f>
        <v>8419</v>
      </c>
      <c r="F30" s="2">
        <f t="shared" si="1"/>
        <v>4113</v>
      </c>
      <c r="N30" s="3">
        <f t="shared" si="2"/>
        <v>3.61415871</v>
      </c>
    </row>
    <row r="31">
      <c r="A31" s="1" t="s">
        <v>22</v>
      </c>
      <c r="B31" s="2">
        <f>SUM(grudzien2022!$B$3:$B$97)</f>
        <v>54198</v>
      </c>
      <c r="C31" s="2">
        <f>SUM(grudzien2022!$F$3:$F$23)</f>
        <v>32258</v>
      </c>
      <c r="D31" s="2">
        <f>MINUS(C31 + grudzien2022!$H$3, $B31)</f>
        <v>70560</v>
      </c>
      <c r="E31" s="2">
        <f>B31 - grudzien2022!$K$1</f>
        <v>39878.51</v>
      </c>
      <c r="F31" s="2">
        <f t="shared" si="1"/>
        <v>-21940</v>
      </c>
      <c r="N31" s="3">
        <f t="shared" si="2"/>
        <v>0</v>
      </c>
    </row>
    <row r="32">
      <c r="A32" s="1" t="s">
        <v>23</v>
      </c>
      <c r="B32" s="2">
        <f>SUM(styczen2023!$B$3:$B$97)</f>
        <v>24603</v>
      </c>
      <c r="C32" s="2">
        <f>SUM(styczen2023!$F$3:$F$23)</f>
        <v>53932</v>
      </c>
      <c r="D32" s="2">
        <f>MINUS(C32 + styczen2023!$H$3, $B32)</f>
        <v>99889</v>
      </c>
      <c r="E32" s="2">
        <f>B32 - styczen2023!$K$1</f>
        <v>13512</v>
      </c>
      <c r="F32" s="2">
        <f t="shared" si="1"/>
        <v>29329</v>
      </c>
      <c r="N32" s="3">
        <f t="shared" si="2"/>
        <v>4.467297256</v>
      </c>
    </row>
    <row r="33">
      <c r="A33" s="1" t="s">
        <v>24</v>
      </c>
      <c r="B33" s="2">
        <f>SUM(luty2023!$B$3:$B$97)</f>
        <v>28398.33</v>
      </c>
      <c r="C33" s="2">
        <f>SUM(luty2023!$F$3:$F$23)</f>
        <v>30996</v>
      </c>
      <c r="D33" s="2">
        <f>MINUS(C33 + luty2023!$H$3, $B33)</f>
        <v>102486.67</v>
      </c>
      <c r="E33" s="2">
        <f>B33 - luty2023!$K$1</f>
        <v>10162.33</v>
      </c>
      <c r="F33" s="2">
        <f t="shared" si="1"/>
        <v>2597.67</v>
      </c>
      <c r="N33" s="3">
        <f t="shared" si="2"/>
        <v>3.414583979</v>
      </c>
    </row>
    <row r="34">
      <c r="A34" s="1" t="s">
        <v>25</v>
      </c>
      <c r="B34" s="2">
        <f>SUM(marzec2023!$B$3:$B$97)</f>
        <v>16663.32</v>
      </c>
      <c r="C34" s="2">
        <f>SUM(marzec2023!$F$3:$F$23)</f>
        <v>9489</v>
      </c>
      <c r="D34" s="2">
        <f>MINUS(C34 + marzec2023!$H$3, $B34)</f>
        <v>95312.35</v>
      </c>
      <c r="E34" s="2">
        <f>B34 - marzec2023!$K$1</f>
        <v>-22928.32</v>
      </c>
      <c r="F34" s="2">
        <f t="shared" si="1"/>
        <v>-7174.32</v>
      </c>
      <c r="N34" s="3">
        <f t="shared" si="2"/>
        <v>0</v>
      </c>
    </row>
    <row r="35">
      <c r="A35" s="1" t="s">
        <v>26</v>
      </c>
      <c r="B35" s="2">
        <f>SUM(kwiecien2023!$B$3:$B$97)</f>
        <v>27464.67</v>
      </c>
      <c r="C35" s="2">
        <f>SUM(kwiecien2023!$F$3:$F$23)</f>
        <v>35017</v>
      </c>
      <c r="D35" s="2">
        <f>MINUS(C35 + kwiecien2023!$H$3, $B35)</f>
        <v>102864.68</v>
      </c>
      <c r="E35" s="2">
        <f>B35 - kwiecien2023!$K$1</f>
        <v>13609.67</v>
      </c>
      <c r="F35" s="2">
        <f t="shared" si="1"/>
        <v>7552.33</v>
      </c>
      <c r="N35" s="3">
        <f t="shared" si="2"/>
        <v>3.878080958</v>
      </c>
    </row>
    <row r="36">
      <c r="A36" s="4">
        <v>45047.0</v>
      </c>
      <c r="B36" s="2">
        <f>SUM('maj2023'!$B$3:$B$97)</f>
        <v>24096</v>
      </c>
      <c r="C36" s="2">
        <f>SUM('maj2023'!$F$3:$F$23)</f>
        <v>29293</v>
      </c>
      <c r="D36" s="2">
        <f>MINUS(C36 + 'maj2023'!$H$3, $B36)</f>
        <v>108061.68</v>
      </c>
      <c r="E36" s="2">
        <f>B36 - 'maj2023'!$K$1</f>
        <v>13812</v>
      </c>
      <c r="F36" s="2">
        <f t="shared" si="1"/>
        <v>5197</v>
      </c>
      <c r="N36" s="3">
        <f t="shared" si="2"/>
        <v>3.715752717</v>
      </c>
    </row>
    <row r="37">
      <c r="A37" s="4">
        <v>45078.0</v>
      </c>
      <c r="B37" s="2">
        <f>SUM(czerwiec2023!$B$3:$B$97)</f>
        <v>25996</v>
      </c>
      <c r="C37" s="2">
        <f>SUM(czerwiec2023!$F$3:$F$23)</f>
        <v>35024</v>
      </c>
      <c r="D37" s="2">
        <f>MINUS(C37 + czerwiec2023!$H$3, $B37)</f>
        <v>117089.68</v>
      </c>
      <c r="E37" s="2">
        <f>B37 - czerwiec2023!$K$1</f>
        <v>12442</v>
      </c>
      <c r="F37" s="2">
        <f t="shared" si="1"/>
        <v>9028</v>
      </c>
      <c r="N37" s="3">
        <f t="shared" si="2"/>
        <v>3.95559155</v>
      </c>
    </row>
    <row r="38">
      <c r="A38" s="4">
        <v>45108.0</v>
      </c>
      <c r="B38" s="2">
        <f>SUM(lipiec2023!$B$3:$B$97)</f>
        <v>29459</v>
      </c>
      <c r="C38" s="2">
        <f>SUM(lipiec2023!$F$3:$F$23)</f>
        <v>32834</v>
      </c>
      <c r="D38" s="2">
        <f>MINUS(C38 + lipiec2023!$H$3, $B38)</f>
        <v>120464.68</v>
      </c>
      <c r="E38" s="2">
        <f>B38 - lipiec2023!$K$1</f>
        <v>16605</v>
      </c>
      <c r="F38" s="2">
        <f t="shared" si="1"/>
        <v>3375</v>
      </c>
      <c r="N38" s="3">
        <f t="shared" si="2"/>
        <v>3.528273777</v>
      </c>
    </row>
    <row r="39">
      <c r="A39" s="4">
        <v>45139.0</v>
      </c>
      <c r="B39" s="2">
        <f>SUM(sierpien2023!$B$3:$B$97)</f>
        <v>32271.91</v>
      </c>
      <c r="C39" s="2">
        <f>SUM(sierpien2023!$F$3:$F$23)</f>
        <v>39306.23</v>
      </c>
      <c r="D39" s="2">
        <f>MINUS(C39 + sierpien2023!$H$3, $B39)</f>
        <v>127499</v>
      </c>
      <c r="E39" s="2">
        <f>B39 - sierpien2023!$K$1</f>
        <v>17426.91</v>
      </c>
      <c r="F39" s="2">
        <f t="shared" si="1"/>
        <v>7034.32</v>
      </c>
      <c r="N39" s="3">
        <f t="shared" si="2"/>
        <v>3.847222121</v>
      </c>
    </row>
    <row r="40">
      <c r="A40" s="4">
        <v>45170.0</v>
      </c>
      <c r="B40" s="2">
        <f>SUM(wrzesien2023!$B$3:$B$97)</f>
        <v>27495</v>
      </c>
      <c r="C40" s="2">
        <f>SUM(wrzesien2023!$F$3:$F$23)</f>
        <v>33517</v>
      </c>
      <c r="D40" s="2">
        <f>MINUS(C40 + wrzesien2023!$H$3, $B40)</f>
        <v>133521</v>
      </c>
      <c r="E40" s="2">
        <f>B40 - wrzesien2023!$K$1</f>
        <v>13273</v>
      </c>
      <c r="F40" s="2">
        <f t="shared" si="1"/>
        <v>6022</v>
      </c>
      <c r="N40" s="3">
        <f t="shared" si="2"/>
        <v>3.779740751</v>
      </c>
    </row>
    <row r="41">
      <c r="A41" s="4">
        <v>45201.0</v>
      </c>
      <c r="B41" s="2">
        <f>SUM(pazdziernik2023!$B$3:$B$97)</f>
        <v>31846</v>
      </c>
      <c r="C41" s="2">
        <f>SUM(pazdziernik2023!$F$3:$F$23)</f>
        <v>22078</v>
      </c>
      <c r="D41" s="2">
        <f>MINUS(C41 + pazdziernik2023!$H$3, $B41)</f>
        <v>123753</v>
      </c>
      <c r="E41" s="2">
        <f>B41 - pazdziernik2023!$K$1</f>
        <v>19761</v>
      </c>
      <c r="F41" s="2">
        <f t="shared" si="1"/>
        <v>-9768</v>
      </c>
      <c r="N41" s="3">
        <f t="shared" si="2"/>
        <v>0</v>
      </c>
    </row>
    <row r="42">
      <c r="A42" s="4">
        <v>45231.0</v>
      </c>
      <c r="B42" s="2">
        <f>SUM(listopad2023!$B$3:$B$97)</f>
        <v>32665</v>
      </c>
      <c r="C42" s="2">
        <f>SUM(listopad2023!$F$3:$F$23)</f>
        <v>41338</v>
      </c>
      <c r="D42" s="2">
        <f>MINUS(C42 + listopad2023!$H$3, $B42)</f>
        <v>132426</v>
      </c>
      <c r="E42" s="2">
        <f>B42 - listopad2023!$K$1</f>
        <v>16548</v>
      </c>
      <c r="F42" s="2">
        <f t="shared" si="1"/>
        <v>8673</v>
      </c>
      <c r="N42" s="3">
        <f t="shared" si="2"/>
        <v>3.938169346</v>
      </c>
    </row>
    <row r="43">
      <c r="A43" s="4">
        <v>45261.0</v>
      </c>
      <c r="B43" s="2">
        <f>SUM(grudzien2023!$B$3:$B$97)</f>
        <v>32752</v>
      </c>
      <c r="C43" s="2">
        <f>SUM(grudzien2023!$F$3:$F$23)</f>
        <v>35631</v>
      </c>
      <c r="D43" s="2">
        <f>MINUS(C43 + grudzien2023!$H$3, $B43)</f>
        <v>135305</v>
      </c>
      <c r="E43" s="2">
        <f>B43 - listopad2023!$K$1</f>
        <v>16635</v>
      </c>
      <c r="F43" s="2">
        <f t="shared" si="1"/>
        <v>2879</v>
      </c>
      <c r="N43" s="3">
        <f t="shared" si="2"/>
        <v>3.459241665</v>
      </c>
    </row>
    <row r="44">
      <c r="A44" s="4">
        <v>45292.0</v>
      </c>
      <c r="B44" s="2">
        <f>SUM(styczen2024!$B$3:$B$97)</f>
        <v>32651</v>
      </c>
      <c r="C44" s="2">
        <f>SUM(styczen2024!$F$3:$F$23)</f>
        <v>32785</v>
      </c>
      <c r="D44" s="2">
        <f>MINUS(C44 + styczen2024!$H$3, $B44)</f>
        <v>135439</v>
      </c>
      <c r="E44" s="2">
        <f>B44 - styczen2024!$K$1</f>
        <v>16153</v>
      </c>
      <c r="F44" s="2">
        <f t="shared" si="1"/>
        <v>134</v>
      </c>
      <c r="N44" s="3">
        <f t="shared" si="2"/>
        <v>2.127104798</v>
      </c>
    </row>
    <row r="45">
      <c r="A45" s="4">
        <v>45323.0</v>
      </c>
      <c r="B45" s="2">
        <f>SUM(luty2024!$B$3:$B$130)</f>
        <v>34339</v>
      </c>
      <c r="C45" s="2">
        <f>SUM(luty2024!$F$3:$F$23)</f>
        <v>40185</v>
      </c>
      <c r="D45" s="2">
        <f>MINUS(C45 + luty2024!$H$3, $B45)</f>
        <v>141285</v>
      </c>
      <c r="E45" s="2">
        <f>B45 - luty2024!$K$1</f>
        <v>17105</v>
      </c>
      <c r="F45" s="2">
        <f t="shared" si="1"/>
        <v>5846</v>
      </c>
      <c r="N45" s="3">
        <f t="shared" si="2"/>
        <v>3.766858811</v>
      </c>
    </row>
    <row r="46">
      <c r="A46" s="4">
        <v>45352.0</v>
      </c>
      <c r="B46" s="2">
        <f>SUM(marzec2024!$B$3:$B$127)</f>
        <v>26214</v>
      </c>
      <c r="C46" s="2">
        <f>SUM(marzec2024!$F$3:$F$23)</f>
        <v>36373</v>
      </c>
      <c r="D46" s="2">
        <f>MINUS(C46 + marzec2024!$H$3, $B46)</f>
        <v>151444</v>
      </c>
      <c r="E46" s="2">
        <f>B46 - marzec2024!$K$1</f>
        <v>11634</v>
      </c>
      <c r="F46" s="2">
        <f t="shared" si="1"/>
        <v>10159</v>
      </c>
      <c r="N46" s="3">
        <f t="shared" si="2"/>
        <v>4.00685096</v>
      </c>
    </row>
    <row r="47">
      <c r="A47" s="4">
        <v>45383.0</v>
      </c>
      <c r="B47" s="2">
        <f>SUM(kwiecien2024!$B$3:$B$130)</f>
        <v>30442</v>
      </c>
      <c r="C47" s="2">
        <f>SUM(kwiecien2024!$F$3:$F$23)</f>
        <v>33948</v>
      </c>
      <c r="D47" s="2">
        <f>MINUS(C47 + kwiecien2024!$H$3, $B47)</f>
        <v>154950</v>
      </c>
      <c r="E47" s="2">
        <f>B47 - kwiecien2024!$K$1</f>
        <v>15889</v>
      </c>
      <c r="F47" s="2">
        <f t="shared" si="1"/>
        <v>3506</v>
      </c>
      <c r="N47" s="3">
        <f t="shared" si="2"/>
        <v>3.544811912</v>
      </c>
    </row>
    <row r="48">
      <c r="A48" s="4">
        <v>45413.0</v>
      </c>
      <c r="B48" s="2">
        <f>SUM('maj2024'!$B$3:$B$128)</f>
        <v>22998</v>
      </c>
      <c r="C48" s="2">
        <f>SUM('maj2024'!$F$3:$F$23)</f>
        <v>12792</v>
      </c>
      <c r="D48" s="2">
        <f>MINUS(C48 + 'maj2024'!$H$3, $B48)</f>
        <v>144744</v>
      </c>
      <c r="E48" s="2">
        <f>B48 - 'maj2024'!$K$1</f>
        <v>9339.22</v>
      </c>
      <c r="F48" s="2">
        <f t="shared" si="1"/>
        <v>-10206</v>
      </c>
      <c r="N48" s="3">
        <f t="shared" si="2"/>
        <v>0</v>
      </c>
    </row>
    <row r="49">
      <c r="A49" s="4">
        <v>45444.0</v>
      </c>
      <c r="B49" s="2">
        <f>SUM(czerwiec2024!$B$3:$B$130)</f>
        <v>22819</v>
      </c>
      <c r="C49" s="2">
        <f>SUM(czerwiec2024!$F$3:$F$23)</f>
        <v>35307</v>
      </c>
      <c r="D49" s="2">
        <f>MINUS(C49 + czerwiec2024!$H$3, $B49)</f>
        <v>157232</v>
      </c>
      <c r="E49" s="2">
        <f>B49 - czerwiec2024!$K$1</f>
        <v>7985</v>
      </c>
      <c r="F49" s="2">
        <f t="shared" si="1"/>
        <v>12488</v>
      </c>
      <c r="N49" s="3">
        <f t="shared" si="2"/>
        <v>4.09649289</v>
      </c>
    </row>
    <row r="50">
      <c r="A50" s="4">
        <v>45474.0</v>
      </c>
      <c r="B50" s="2">
        <f>SUM(lipiec2024!$B$3:$B$130)</f>
        <v>27721.03</v>
      </c>
      <c r="C50" s="2">
        <f>SUM(lipiec2024!$F$3:$F$23)</f>
        <v>30967</v>
      </c>
      <c r="D50" s="2">
        <f>MINUS(C50 + lipiec2024!$H$3, $B50)</f>
        <v>160477.97</v>
      </c>
      <c r="E50" s="2">
        <f>B50 - lipiec2024!$K$1</f>
        <v>13034</v>
      </c>
      <c r="F50" s="2">
        <f t="shared" si="1"/>
        <v>3245.97</v>
      </c>
      <c r="N50" s="3">
        <f t="shared" si="2"/>
        <v>3.511344502</v>
      </c>
    </row>
    <row r="51">
      <c r="A51" s="4">
        <v>45505.0</v>
      </c>
      <c r="B51" s="2">
        <f>SUM(sierpien2024!$B$3:$B$130)</f>
        <v>28196.33</v>
      </c>
      <c r="C51" s="2">
        <f>SUM(sierpien2024!$F$3:$F$23)</f>
        <v>35307</v>
      </c>
      <c r="D51" s="2">
        <f>MINUS(C51 + sierpien2024!$H$3, $B51)</f>
        <v>167588.64</v>
      </c>
      <c r="E51" s="2">
        <f>B51 - sierpien2024!$K$1</f>
        <v>12221.33</v>
      </c>
      <c r="F51" s="2">
        <f t="shared" si="1"/>
        <v>7110.67</v>
      </c>
      <c r="N51" s="3">
        <f t="shared" si="2"/>
        <v>3.851910524</v>
      </c>
    </row>
    <row r="52">
      <c r="A52" s="4">
        <v>45536.0</v>
      </c>
      <c r="B52" s="2">
        <f>SUM(wrzesien2024!$B$3:$B$130)</f>
        <v>27350.55</v>
      </c>
      <c r="C52" s="2">
        <f>SUM(wrzesien2024!$F$3:$F$23)</f>
        <v>36211</v>
      </c>
      <c r="D52" s="2">
        <f>MINUS(C52 + wrzesien2024!$H$3, $B52)</f>
        <v>176449.09</v>
      </c>
      <c r="E52" s="2">
        <f>B52 - wrzesien2024!$K$1</f>
        <v>11600.55</v>
      </c>
      <c r="F52" s="2">
        <f t="shared" si="1"/>
        <v>8860.45</v>
      </c>
      <c r="N52" s="3">
        <f t="shared" si="2"/>
        <v>3.947455779</v>
      </c>
    </row>
    <row r="53">
      <c r="A53" s="4">
        <v>45566.0</v>
      </c>
      <c r="B53" s="2">
        <f>SUM(pazdziernik2024!$B$3:$B$130)</f>
        <v>24132</v>
      </c>
      <c r="C53" s="2">
        <f>SUM(pazdziernik2024!$F$3:$F$23)</f>
        <v>32269</v>
      </c>
      <c r="D53" s="2">
        <f>MINUS(C53 + pazdziernik2024!$H$3, $B53)</f>
        <v>184586.09</v>
      </c>
      <c r="E53" s="2">
        <f>B53 - pazdziernik2024!$K$1</f>
        <v>10019</v>
      </c>
      <c r="F53" s="2">
        <f t="shared" si="1"/>
        <v>8137</v>
      </c>
      <c r="N53" s="3">
        <f t="shared" si="2"/>
        <v>3.910464316</v>
      </c>
    </row>
    <row r="54">
      <c r="A54" s="4">
        <v>45597.0</v>
      </c>
      <c r="B54" s="2">
        <f>SUM(listopad2024!$B$3:$B$130)</f>
        <v>38178.5</v>
      </c>
      <c r="C54" s="2">
        <f>SUM(listopad2024!$F$3:$F$23)</f>
        <v>36109.11</v>
      </c>
      <c r="D54" s="2">
        <f>MINUS(C54 + listopad2024!$H$3, $B54)</f>
        <v>182516.7</v>
      </c>
      <c r="E54" s="2">
        <f>B54 - listopad2024!$K$1</f>
        <v>23139.5</v>
      </c>
      <c r="F54" s="2">
        <f t="shared" si="1"/>
        <v>-2069.39</v>
      </c>
      <c r="N54" s="3">
        <f t="shared" si="2"/>
        <v>0</v>
      </c>
    </row>
    <row r="55">
      <c r="A55" s="4">
        <v>45627.0</v>
      </c>
      <c r="B55" s="2">
        <f>SUM(grudzien2024!$B$3:$B$126)</f>
        <v>41229.34</v>
      </c>
      <c r="C55" s="2">
        <f>SUM(grudzien2024!$F$3:$F$23)</f>
        <v>31517</v>
      </c>
      <c r="D55" s="2">
        <f>MINUS(C55 + grudzien2024!$H$3, $B55)</f>
        <v>172804.36</v>
      </c>
      <c r="E55" s="2">
        <f>B55 - grudzien2024!$K$1</f>
        <v>27602.41</v>
      </c>
      <c r="F55" s="2">
        <f t="shared" si="1"/>
        <v>-9712.34</v>
      </c>
      <c r="N55" s="3">
        <f t="shared" si="2"/>
        <v>0</v>
      </c>
    </row>
    <row r="56">
      <c r="A56" s="4">
        <v>45658.0</v>
      </c>
      <c r="B56" s="2">
        <f>SUM(styczen2025!$B$3:$B$126)</f>
        <v>28249.57</v>
      </c>
      <c r="C56" s="2">
        <f>SUM(styczen2025!$F$3:$F$23)</f>
        <v>29217.42</v>
      </c>
      <c r="D56" s="2">
        <f>MINUS(C56 + styczen2025!$H$3, $B56)</f>
        <v>173772.21</v>
      </c>
      <c r="E56" s="2">
        <f>B56 - styczen2025!$K$1</f>
        <v>16665.24</v>
      </c>
      <c r="F56" s="2">
        <f t="shared" si="1"/>
        <v>967.85</v>
      </c>
      <c r="N56" s="3">
        <f t="shared" si="2"/>
        <v>2.985808054</v>
      </c>
    </row>
    <row r="57">
      <c r="A57" s="4">
        <v>45690.0</v>
      </c>
      <c r="B57" s="2">
        <f>SUM(luty2025!$B$3:$B$126)</f>
        <v>33915.77</v>
      </c>
      <c r="C57" s="2">
        <f>SUM(luty2025!$F$3:$F$23)</f>
        <v>34143.57</v>
      </c>
      <c r="D57" s="2">
        <f>MINUS(C57 + luty2025!$H$3, $B57)</f>
        <v>174000.01</v>
      </c>
      <c r="E57" s="2">
        <f>B57 - luty2025!$K$1</f>
        <v>27982.87</v>
      </c>
      <c r="F57" s="2">
        <f t="shared" si="1"/>
        <v>227.8</v>
      </c>
      <c r="N57" s="3">
        <f t="shared" si="2"/>
        <v>2.35755372</v>
      </c>
    </row>
    <row r="58">
      <c r="A58" s="4">
        <v>45717.0</v>
      </c>
      <c r="B58" s="3">
        <f>SUM(marzec2025!$B$3:$B$126)</f>
        <v>36870.38</v>
      </c>
      <c r="C58" s="2">
        <f>SUM(marzec2025!$F$3:$F$23)</f>
        <v>32016</v>
      </c>
      <c r="D58" s="2">
        <f>MINUS(C58 + marzec2025!$H$3, $B58)</f>
        <v>169145.63</v>
      </c>
      <c r="E58" s="2">
        <f>B58 - marzec2025!$K$1</f>
        <v>23835.23</v>
      </c>
      <c r="F58" s="2">
        <f t="shared" si="1"/>
        <v>-4854.38</v>
      </c>
      <c r="N58" s="3">
        <f t="shared" si="2"/>
        <v>0</v>
      </c>
    </row>
    <row r="59">
      <c r="A59" s="4">
        <v>45749.0</v>
      </c>
      <c r="B59" s="3">
        <f>SUM(kwiecien2025!$B$3:$B$126)</f>
        <v>28147.69</v>
      </c>
      <c r="C59" s="2">
        <f>SUM(kwiecien2025!$F$3:$F$23)</f>
        <v>0</v>
      </c>
      <c r="D59" s="2">
        <f>MINUS(C59 + kwiecien2025!$H$3, $B59)</f>
        <v>140997.94</v>
      </c>
      <c r="E59" s="2">
        <f>B59 - kwiecien2025!$K$1</f>
        <v>18871.54</v>
      </c>
      <c r="F59" s="2">
        <f t="shared" si="1"/>
        <v>-28147.69</v>
      </c>
      <c r="N59" s="3">
        <f t="shared" si="2"/>
        <v>0</v>
      </c>
    </row>
    <row r="60">
      <c r="A60" s="4">
        <v>45780.0</v>
      </c>
      <c r="B60" s="3">
        <f>SUM('maj2025'!$B$3:$B$114)</f>
        <v>23756.11</v>
      </c>
      <c r="C60" s="2">
        <f>SUM('maj2025'!$F$3:$F$23)</f>
        <v>34640</v>
      </c>
      <c r="D60" s="2">
        <f>MINUS(C60 + 'maj2025'!$H$3, $B60)</f>
        <v>151881.83</v>
      </c>
      <c r="E60" s="2">
        <f>B60 - 'maj2025'!$K$1</f>
        <v>12970.94</v>
      </c>
      <c r="F60" s="2">
        <f t="shared" si="1"/>
        <v>10883.89</v>
      </c>
      <c r="N60" s="3">
        <f t="shared" si="2"/>
        <v>4.036784144</v>
      </c>
    </row>
    <row r="61">
      <c r="A61" s="4">
        <v>45809.0</v>
      </c>
      <c r="B61" s="3">
        <f>SUM(czerwiec2025!$B$3:$B$114)</f>
        <v>27430.62</v>
      </c>
      <c r="C61" s="2">
        <f>SUM(czerwiec2025!$F$3:$F$23)</f>
        <v>35649</v>
      </c>
      <c r="D61" s="2">
        <f>MINUS(C61 + czerwiec2025!$H$3, $B61)</f>
        <v>160100.21</v>
      </c>
      <c r="E61" s="2">
        <f>B61 - czerwiec2025!$K$1</f>
        <v>11489.91</v>
      </c>
      <c r="F61" s="2">
        <f t="shared" si="1"/>
        <v>8218.38</v>
      </c>
      <c r="N61" s="3">
        <f t="shared" si="2"/>
        <v>3.914786218</v>
      </c>
    </row>
    <row r="62">
      <c r="A62" s="4">
        <v>45840.0</v>
      </c>
      <c r="B62" s="3">
        <f>SUM(lipiec2025!$B$3:$B$114)</f>
        <v>35727.13</v>
      </c>
      <c r="C62" s="2">
        <f>SUM(lipiec2025!$F$3:$F$23)</f>
        <v>34535</v>
      </c>
      <c r="D62" s="2">
        <f>MINUS(C62 + lipiec2025!$H$3, $B62)</f>
        <v>158908.08</v>
      </c>
      <c r="E62" s="2">
        <f>B62 - lipiec2025!$K$1</f>
        <v>21801.39</v>
      </c>
      <c r="F62" s="2">
        <f t="shared" si="1"/>
        <v>-1192.13</v>
      </c>
      <c r="N62" s="3">
        <f t="shared" si="2"/>
        <v>0</v>
      </c>
    </row>
    <row r="63">
      <c r="A63" s="4">
        <v>45872.0</v>
      </c>
      <c r="B63" s="3">
        <f>SUM(sierpien2025!$B$3:$B$114)</f>
        <v>30514.24</v>
      </c>
      <c r="C63" s="2">
        <f>SUM(sierpien2025!$F$3:$F$23)</f>
        <v>30467</v>
      </c>
      <c r="D63" s="2">
        <f>MINUS(C63 + sierpien2025!$H$3, $B63)</f>
        <v>158860.84</v>
      </c>
      <c r="E63" s="2">
        <f>B63 - sierpien2025!$K$1</f>
        <v>15413.49</v>
      </c>
      <c r="F63" s="2">
        <f t="shared" si="1"/>
        <v>-47.24</v>
      </c>
      <c r="N63" s="3">
        <f t="shared" si="2"/>
        <v>0</v>
      </c>
    </row>
    <row r="64">
      <c r="A64" s="4">
        <v>45903.0</v>
      </c>
      <c r="B64" s="3">
        <f>SUM(wrzesien2025!$B$3:$B$114)</f>
        <v>27317.62</v>
      </c>
      <c r="C64" s="2">
        <f>SUM(wrzesien2025!$F$3:$F$23)</f>
        <v>32914</v>
      </c>
      <c r="D64" s="2">
        <f>MINUS(C64 + wrzesien2025!$H$3, $B64)</f>
        <v>164457.22</v>
      </c>
      <c r="E64" s="2">
        <f>B64 - wrzesien2025!$K$1</f>
        <v>12828.87</v>
      </c>
      <c r="F64" s="2">
        <f t="shared" si="1"/>
        <v>5596.38</v>
      </c>
      <c r="N64" s="3">
        <f t="shared" si="2"/>
        <v>3.747907196</v>
      </c>
    </row>
    <row r="65">
      <c r="A65" s="4">
        <v>45933.0</v>
      </c>
      <c r="B65" s="3">
        <f>SUM(pazdziernik2025!$B$3:$B$114)</f>
        <v>8375.51</v>
      </c>
      <c r="C65" s="2">
        <f>SUM(pazdziernik2025!$F$3:$F$23)</f>
        <v>35234</v>
      </c>
      <c r="D65" s="2">
        <f>MINUS(C65 + pazdziernik2025!$H$3, $B65)</f>
        <v>191315.71</v>
      </c>
      <c r="E65" s="2">
        <f>B65 - pazdziernik2025!$K$1</f>
        <v>5932.51</v>
      </c>
      <c r="F65" s="2">
        <f t="shared" si="1"/>
        <v>26858.49</v>
      </c>
      <c r="N65" s="3">
        <f t="shared" si="2"/>
        <v>4.429081593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0.7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2443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E3" s="1" t="s">
        <v>34</v>
      </c>
      <c r="F3" s="8">
        <v>35234.0</v>
      </c>
      <c r="H3" s="2">
        <f>Zbiorczy!D64</f>
        <v>164457.22</v>
      </c>
      <c r="J3" s="3">
        <f t="shared" ref="J3:J7" si="1">SUMIF($A$3:A$197, K3, B$3:B$197)</f>
        <v>0</v>
      </c>
      <c r="K3" s="1" t="s">
        <v>35</v>
      </c>
      <c r="M3" s="3">
        <f t="shared" ref="M3:M9" si="2">SUMIF($A$3:A$197, N3, B$3:B$197)</f>
        <v>416.27</v>
      </c>
      <c r="N3" s="1" t="s">
        <v>36</v>
      </c>
      <c r="R3" s="1" t="s">
        <v>30</v>
      </c>
      <c r="S3" s="1" t="s">
        <v>31</v>
      </c>
      <c r="T3" s="1" t="s">
        <v>32</v>
      </c>
      <c r="U3" s="1" t="s">
        <v>33</v>
      </c>
    </row>
    <row r="4">
      <c r="A4" s="1" t="s">
        <v>37</v>
      </c>
      <c r="B4" s="1">
        <v>5.0</v>
      </c>
      <c r="C4" s="1" t="s">
        <v>38</v>
      </c>
      <c r="D4" s="9">
        <v>45943.0</v>
      </c>
      <c r="E4" s="1" t="s">
        <v>39</v>
      </c>
      <c r="J4" s="3">
        <f t="shared" si="1"/>
        <v>0</v>
      </c>
      <c r="K4" s="1" t="s">
        <v>40</v>
      </c>
      <c r="M4" s="3">
        <f t="shared" si="2"/>
        <v>10.5</v>
      </c>
      <c r="N4" s="1" t="s">
        <v>41</v>
      </c>
      <c r="R4" s="1" t="s">
        <v>42</v>
      </c>
      <c r="S4" s="1">
        <v>23.9</v>
      </c>
      <c r="T4" s="1" t="s">
        <v>43</v>
      </c>
      <c r="U4" s="10">
        <v>45930.0</v>
      </c>
    </row>
    <row r="5">
      <c r="A5" s="1" t="s">
        <v>37</v>
      </c>
      <c r="B5" s="1">
        <v>5.0</v>
      </c>
      <c r="C5" s="1" t="s">
        <v>44</v>
      </c>
      <c r="D5" s="9">
        <v>45943.0</v>
      </c>
      <c r="E5" s="1" t="s">
        <v>45</v>
      </c>
      <c r="J5" s="3">
        <f t="shared" si="1"/>
        <v>0</v>
      </c>
      <c r="K5" s="1" t="s">
        <v>46</v>
      </c>
      <c r="M5" s="3">
        <f t="shared" si="2"/>
        <v>2805.45</v>
      </c>
      <c r="N5" s="1" t="s">
        <v>47</v>
      </c>
      <c r="R5" s="1" t="s">
        <v>42</v>
      </c>
      <c r="S5" s="1">
        <v>36.0</v>
      </c>
      <c r="T5" s="1" t="s">
        <v>48</v>
      </c>
      <c r="U5" s="10">
        <v>45930.0</v>
      </c>
    </row>
    <row r="6">
      <c r="A6" s="1" t="s">
        <v>36</v>
      </c>
      <c r="B6" s="1">
        <v>15.48</v>
      </c>
      <c r="C6" s="1" t="s">
        <v>49</v>
      </c>
      <c r="D6" s="9">
        <v>45943.0</v>
      </c>
      <c r="J6" s="3">
        <f t="shared" si="1"/>
        <v>2443</v>
      </c>
      <c r="K6" s="1" t="s">
        <v>50</v>
      </c>
      <c r="M6" s="3">
        <f t="shared" si="2"/>
        <v>0</v>
      </c>
      <c r="N6" s="1" t="s">
        <v>51</v>
      </c>
      <c r="R6" s="1" t="s">
        <v>50</v>
      </c>
      <c r="S6" s="1">
        <v>320.0</v>
      </c>
      <c r="T6" s="1" t="s">
        <v>52</v>
      </c>
      <c r="U6" s="10">
        <v>45929.0</v>
      </c>
    </row>
    <row r="7">
      <c r="A7" s="1" t="s">
        <v>36</v>
      </c>
      <c r="B7" s="1">
        <v>26.0</v>
      </c>
      <c r="C7" s="1" t="s">
        <v>53</v>
      </c>
      <c r="D7" s="9">
        <v>45943.0</v>
      </c>
      <c r="J7" s="3">
        <f t="shared" si="1"/>
        <v>0</v>
      </c>
      <c r="K7" s="1" t="s">
        <v>55</v>
      </c>
      <c r="M7" s="3">
        <f t="shared" si="2"/>
        <v>1673.64</v>
      </c>
      <c r="N7" s="1" t="s">
        <v>56</v>
      </c>
      <c r="R7" s="1" t="s">
        <v>37</v>
      </c>
      <c r="S7" s="1">
        <v>5.0</v>
      </c>
      <c r="T7" s="1" t="s">
        <v>57</v>
      </c>
      <c r="U7" s="10">
        <v>45929.0</v>
      </c>
    </row>
    <row r="8">
      <c r="A8" s="1" t="s">
        <v>58</v>
      </c>
      <c r="B8" s="1">
        <v>18.9</v>
      </c>
      <c r="C8" s="1" t="s">
        <v>59</v>
      </c>
      <c r="D8" s="9">
        <v>45943.0</v>
      </c>
      <c r="M8" s="3">
        <f t="shared" si="2"/>
        <v>2805.45</v>
      </c>
      <c r="N8" s="1" t="s">
        <v>47</v>
      </c>
      <c r="R8" s="1" t="s">
        <v>37</v>
      </c>
      <c r="S8" s="1">
        <v>5.0</v>
      </c>
      <c r="T8" s="1" t="s">
        <v>60</v>
      </c>
      <c r="U8" s="10">
        <v>45929.0</v>
      </c>
    </row>
    <row r="9">
      <c r="A9" s="1" t="s">
        <v>56</v>
      </c>
      <c r="B9" s="1">
        <v>129.99</v>
      </c>
      <c r="C9" s="1" t="s">
        <v>61</v>
      </c>
      <c r="D9" s="9">
        <v>45943.0</v>
      </c>
      <c r="M9" s="3">
        <f t="shared" si="2"/>
        <v>0</v>
      </c>
      <c r="N9" s="1" t="s">
        <v>62</v>
      </c>
      <c r="R9" s="1" t="s">
        <v>62</v>
      </c>
      <c r="S9" s="1">
        <v>33.0</v>
      </c>
      <c r="T9" s="1" t="s">
        <v>63</v>
      </c>
      <c r="U9" s="10">
        <v>45929.0</v>
      </c>
    </row>
    <row r="10">
      <c r="A10" s="1" t="s">
        <v>36</v>
      </c>
      <c r="B10" s="1">
        <v>4.5</v>
      </c>
      <c r="C10" s="1" t="s">
        <v>64</v>
      </c>
      <c r="D10" s="9">
        <v>45942.0</v>
      </c>
      <c r="R10" s="1" t="s">
        <v>42</v>
      </c>
      <c r="S10" s="1">
        <v>22.0</v>
      </c>
      <c r="T10" s="1" t="s">
        <v>65</v>
      </c>
      <c r="U10" s="10">
        <v>45929.0</v>
      </c>
    </row>
    <row r="11">
      <c r="A11" s="1" t="s">
        <v>36</v>
      </c>
      <c r="B11" s="1">
        <v>25.0</v>
      </c>
      <c r="C11" s="1" t="s">
        <v>66</v>
      </c>
      <c r="D11" s="9">
        <v>45942.0</v>
      </c>
      <c r="R11" s="1" t="s">
        <v>36</v>
      </c>
      <c r="S11" s="1">
        <v>59.98</v>
      </c>
      <c r="T11" s="1" t="s">
        <v>67</v>
      </c>
      <c r="U11" s="10">
        <v>45929.0</v>
      </c>
    </row>
    <row r="12">
      <c r="A12" s="1" t="s">
        <v>42</v>
      </c>
      <c r="B12" s="1">
        <v>75.0</v>
      </c>
      <c r="C12" s="1" t="s">
        <v>68</v>
      </c>
      <c r="D12" s="9">
        <v>45942.0</v>
      </c>
      <c r="R12" s="1" t="s">
        <v>36</v>
      </c>
      <c r="S12" s="1">
        <v>376.72</v>
      </c>
      <c r="T12" s="1" t="s">
        <v>69</v>
      </c>
      <c r="U12" s="10">
        <v>45929.0</v>
      </c>
    </row>
    <row r="13">
      <c r="A13" s="1" t="s">
        <v>56</v>
      </c>
      <c r="B13" s="1">
        <v>18.0</v>
      </c>
      <c r="C13" s="1" t="s">
        <v>70</v>
      </c>
      <c r="D13" s="9">
        <v>45942.0</v>
      </c>
      <c r="R13" s="1" t="s">
        <v>42</v>
      </c>
      <c r="S13" s="1">
        <v>51.0</v>
      </c>
      <c r="T13" s="1" t="s">
        <v>71</v>
      </c>
      <c r="U13" s="10">
        <v>45929.0</v>
      </c>
    </row>
    <row r="14">
      <c r="A14" s="1" t="s">
        <v>56</v>
      </c>
      <c r="B14" s="1">
        <v>20.99</v>
      </c>
      <c r="C14" s="1" t="s">
        <v>72</v>
      </c>
      <c r="D14" s="9">
        <v>45941.0</v>
      </c>
      <c r="R14" s="1" t="s">
        <v>47</v>
      </c>
      <c r="S14" s="1">
        <v>4.5</v>
      </c>
      <c r="T14" s="1" t="s">
        <v>74</v>
      </c>
      <c r="U14" s="10">
        <v>45929.0</v>
      </c>
    </row>
    <row r="15">
      <c r="A15" s="1" t="s">
        <v>36</v>
      </c>
      <c r="B15" s="1">
        <v>25.0</v>
      </c>
      <c r="C15" s="1" t="s">
        <v>75</v>
      </c>
      <c r="D15" s="9">
        <v>45941.0</v>
      </c>
      <c r="R15" s="1" t="s">
        <v>47</v>
      </c>
      <c r="S15" s="1">
        <v>4.5</v>
      </c>
      <c r="T15" s="1" t="s">
        <v>76</v>
      </c>
      <c r="U15" s="10">
        <v>45929.0</v>
      </c>
    </row>
    <row r="16">
      <c r="A16" s="1" t="s">
        <v>41</v>
      </c>
      <c r="B16" s="1">
        <v>6.0</v>
      </c>
      <c r="C16" s="1" t="s">
        <v>77</v>
      </c>
      <c r="D16" s="9">
        <v>45941.0</v>
      </c>
      <c r="R16" s="1" t="s">
        <v>42</v>
      </c>
      <c r="S16" s="1">
        <v>129.0</v>
      </c>
      <c r="T16" s="1" t="s">
        <v>78</v>
      </c>
      <c r="U16" s="10">
        <v>45928.0</v>
      </c>
    </row>
    <row r="17">
      <c r="A17" s="1" t="s">
        <v>36</v>
      </c>
      <c r="B17" s="1">
        <v>54.85</v>
      </c>
      <c r="C17" s="1" t="s">
        <v>79</v>
      </c>
      <c r="D17" s="9">
        <v>45941.0</v>
      </c>
      <c r="R17" s="1" t="s">
        <v>41</v>
      </c>
      <c r="S17" s="1">
        <v>7.49</v>
      </c>
      <c r="T17" s="1" t="s">
        <v>81</v>
      </c>
      <c r="U17" s="10">
        <v>45928.0</v>
      </c>
    </row>
    <row r="18">
      <c r="A18" s="1" t="s">
        <v>36</v>
      </c>
      <c r="B18" s="1">
        <v>23.18</v>
      </c>
      <c r="C18" s="1" t="s">
        <v>82</v>
      </c>
      <c r="D18" s="9">
        <v>45941.0</v>
      </c>
      <c r="R18" s="1" t="s">
        <v>42</v>
      </c>
      <c r="S18" s="1">
        <v>18.0</v>
      </c>
      <c r="T18" s="1" t="s">
        <v>83</v>
      </c>
      <c r="U18" s="10">
        <v>45928.0</v>
      </c>
    </row>
    <row r="19">
      <c r="A19" s="1" t="s">
        <v>47</v>
      </c>
      <c r="B19" s="1">
        <v>73.67</v>
      </c>
      <c r="C19" s="1" t="s">
        <v>84</v>
      </c>
      <c r="D19" s="9">
        <v>45940.0</v>
      </c>
      <c r="R19" s="1" t="s">
        <v>56</v>
      </c>
      <c r="S19" s="1">
        <v>24.0</v>
      </c>
      <c r="T19" s="1" t="s">
        <v>86</v>
      </c>
      <c r="U19" s="10">
        <v>45928.0</v>
      </c>
    </row>
    <row r="20">
      <c r="A20" s="1" t="s">
        <v>80</v>
      </c>
      <c r="B20" s="1">
        <v>16.97</v>
      </c>
      <c r="C20" s="1" t="s">
        <v>87</v>
      </c>
      <c r="D20" s="9">
        <v>45940.0</v>
      </c>
      <c r="R20" s="1" t="s">
        <v>62</v>
      </c>
      <c r="S20" s="1">
        <v>32.0</v>
      </c>
      <c r="T20" s="1" t="s">
        <v>88</v>
      </c>
      <c r="U20" s="10">
        <v>45928.0</v>
      </c>
    </row>
    <row r="21">
      <c r="A21" s="1" t="s">
        <v>56</v>
      </c>
      <c r="B21" s="1">
        <v>238.0</v>
      </c>
      <c r="C21" s="1" t="s">
        <v>89</v>
      </c>
      <c r="D21" s="10">
        <v>45939.0</v>
      </c>
      <c r="E21" s="11"/>
      <c r="F21" s="11"/>
      <c r="G21" s="11"/>
      <c r="R21" s="1" t="s">
        <v>42</v>
      </c>
      <c r="S21" s="1">
        <v>36.0</v>
      </c>
      <c r="T21" s="1" t="s">
        <v>90</v>
      </c>
      <c r="U21" s="10">
        <v>45928.0</v>
      </c>
    </row>
    <row r="22">
      <c r="A22" s="1" t="s">
        <v>56</v>
      </c>
      <c r="B22" s="1">
        <v>53.86</v>
      </c>
      <c r="C22" s="1" t="s">
        <v>91</v>
      </c>
      <c r="D22" s="10">
        <v>45939.0</v>
      </c>
      <c r="R22" s="1" t="s">
        <v>80</v>
      </c>
      <c r="S22" s="1">
        <v>17.48</v>
      </c>
      <c r="T22" s="1" t="s">
        <v>92</v>
      </c>
      <c r="U22" s="10">
        <v>45928.0</v>
      </c>
    </row>
    <row r="23">
      <c r="A23" s="1" t="s">
        <v>41</v>
      </c>
      <c r="B23" s="1">
        <v>4.5</v>
      </c>
      <c r="C23" s="1" t="s">
        <v>93</v>
      </c>
      <c r="D23" s="10">
        <v>45939.0</v>
      </c>
      <c r="R23" s="1" t="s">
        <v>41</v>
      </c>
      <c r="S23" s="1">
        <v>3.4</v>
      </c>
      <c r="T23" s="1" t="s">
        <v>94</v>
      </c>
      <c r="U23" s="10">
        <v>45928.0</v>
      </c>
    </row>
    <row r="24">
      <c r="A24" s="1" t="s">
        <v>56</v>
      </c>
      <c r="B24" s="1">
        <v>88.8</v>
      </c>
      <c r="C24" s="1" t="s">
        <v>95</v>
      </c>
      <c r="D24" s="10">
        <v>45938.0</v>
      </c>
      <c r="R24" s="1" t="s">
        <v>56</v>
      </c>
      <c r="S24" s="1">
        <v>192.36</v>
      </c>
      <c r="T24" s="1" t="s">
        <v>96</v>
      </c>
      <c r="U24" s="10">
        <v>45926.0</v>
      </c>
    </row>
    <row r="25">
      <c r="A25" s="1" t="s">
        <v>73</v>
      </c>
      <c r="B25" s="1">
        <v>250.0</v>
      </c>
      <c r="C25" s="1" t="s">
        <v>97</v>
      </c>
      <c r="D25" s="10">
        <v>45938.0</v>
      </c>
      <c r="R25" s="1" t="s">
        <v>50</v>
      </c>
      <c r="S25" s="1">
        <v>35.0</v>
      </c>
      <c r="T25" s="1" t="s">
        <v>98</v>
      </c>
      <c r="U25" s="10">
        <v>45926.0</v>
      </c>
    </row>
    <row r="26">
      <c r="A26" s="1" t="s">
        <v>56</v>
      </c>
      <c r="B26" s="1">
        <v>500.0</v>
      </c>
      <c r="C26" s="1" t="s">
        <v>99</v>
      </c>
      <c r="D26" s="10">
        <v>45938.0</v>
      </c>
      <c r="R26" s="1" t="s">
        <v>37</v>
      </c>
      <c r="S26" s="1">
        <v>5.0</v>
      </c>
      <c r="T26" s="1" t="s">
        <v>100</v>
      </c>
      <c r="U26" s="10">
        <v>45926.0</v>
      </c>
    </row>
    <row r="27">
      <c r="A27" s="1" t="s">
        <v>56</v>
      </c>
      <c r="B27" s="1">
        <v>224.0</v>
      </c>
      <c r="C27" s="1" t="s">
        <v>101</v>
      </c>
      <c r="D27" s="10">
        <v>45937.0</v>
      </c>
      <c r="R27" s="1" t="s">
        <v>37</v>
      </c>
      <c r="S27" s="1">
        <v>69.0</v>
      </c>
      <c r="T27" s="1" t="s">
        <v>102</v>
      </c>
      <c r="U27" s="10">
        <v>45925.0</v>
      </c>
    </row>
    <row r="28">
      <c r="A28" s="1" t="s">
        <v>47</v>
      </c>
      <c r="B28" s="1">
        <v>43.0</v>
      </c>
      <c r="C28" s="1" t="s">
        <v>103</v>
      </c>
      <c r="D28" s="10">
        <v>45937.0</v>
      </c>
      <c r="R28" s="1" t="s">
        <v>56</v>
      </c>
      <c r="S28" s="1">
        <v>154.99</v>
      </c>
      <c r="T28" s="1" t="s">
        <v>104</v>
      </c>
      <c r="U28" s="10">
        <v>45925.0</v>
      </c>
    </row>
    <row r="29">
      <c r="A29" s="1" t="s">
        <v>56</v>
      </c>
      <c r="B29" s="1">
        <v>400.0</v>
      </c>
      <c r="C29" s="1" t="s">
        <v>105</v>
      </c>
      <c r="D29" s="10">
        <v>45936.0</v>
      </c>
      <c r="R29" s="1" t="s">
        <v>37</v>
      </c>
      <c r="S29" s="1">
        <v>69.0</v>
      </c>
      <c r="T29" s="1" t="s">
        <v>106</v>
      </c>
      <c r="U29" s="10">
        <v>45925.0</v>
      </c>
    </row>
    <row r="30">
      <c r="A30" s="1" t="s">
        <v>37</v>
      </c>
      <c r="B30" s="1">
        <v>5.0</v>
      </c>
      <c r="C30" s="1" t="s">
        <v>107</v>
      </c>
      <c r="D30" s="10">
        <v>45936.0</v>
      </c>
      <c r="R30" s="1" t="s">
        <v>41</v>
      </c>
      <c r="S30" s="1">
        <v>6.7</v>
      </c>
      <c r="T30" s="1" t="s">
        <v>108</v>
      </c>
      <c r="U30" s="10">
        <v>45925.0</v>
      </c>
    </row>
    <row r="31">
      <c r="A31" s="1" t="s">
        <v>37</v>
      </c>
      <c r="B31" s="1">
        <v>5.0</v>
      </c>
      <c r="C31" s="1" t="s">
        <v>109</v>
      </c>
      <c r="D31" s="10">
        <v>45936.0</v>
      </c>
      <c r="R31" s="1" t="s">
        <v>62</v>
      </c>
      <c r="S31" s="1">
        <v>39.98</v>
      </c>
      <c r="T31" s="1" t="s">
        <v>110</v>
      </c>
      <c r="U31" s="10">
        <v>45925.0</v>
      </c>
    </row>
    <row r="32">
      <c r="A32" s="1" t="s">
        <v>47</v>
      </c>
      <c r="B32" s="1">
        <v>88.0</v>
      </c>
      <c r="C32" s="1" t="s">
        <v>111</v>
      </c>
      <c r="D32" s="10">
        <v>45936.0</v>
      </c>
      <c r="R32" s="1" t="s">
        <v>47</v>
      </c>
      <c r="S32" s="1">
        <v>4.0</v>
      </c>
      <c r="T32" s="1" t="s">
        <v>112</v>
      </c>
      <c r="U32" s="10">
        <v>45923.0</v>
      </c>
    </row>
    <row r="33">
      <c r="A33" s="1" t="s">
        <v>47</v>
      </c>
      <c r="B33" s="1">
        <v>301.66</v>
      </c>
      <c r="C33" s="1" t="s">
        <v>113</v>
      </c>
      <c r="D33" s="10">
        <v>45936.0</v>
      </c>
      <c r="R33" s="1" t="s">
        <v>58</v>
      </c>
      <c r="S33" s="1">
        <v>40.0</v>
      </c>
      <c r="T33" s="1" t="s">
        <v>114</v>
      </c>
      <c r="U33" s="10">
        <v>45922.0</v>
      </c>
    </row>
    <row r="34">
      <c r="A34" s="1" t="s">
        <v>50</v>
      </c>
      <c r="B34" s="1">
        <v>800.0</v>
      </c>
      <c r="C34" s="1" t="s">
        <v>115</v>
      </c>
      <c r="D34" s="10">
        <v>45934.0</v>
      </c>
      <c r="R34" s="1" t="s">
        <v>47</v>
      </c>
      <c r="S34" s="1">
        <v>27.49</v>
      </c>
      <c r="T34" s="1" t="s">
        <v>116</v>
      </c>
      <c r="U34" s="10">
        <v>45922.0</v>
      </c>
    </row>
    <row r="35">
      <c r="A35" s="1" t="s">
        <v>58</v>
      </c>
      <c r="B35" s="1">
        <v>59.99</v>
      </c>
      <c r="C35" s="1" t="s">
        <v>117</v>
      </c>
      <c r="D35" s="10">
        <v>45934.0</v>
      </c>
      <c r="R35" s="1" t="s">
        <v>47</v>
      </c>
      <c r="S35" s="1">
        <v>4.0</v>
      </c>
      <c r="T35" s="1" t="s">
        <v>118</v>
      </c>
      <c r="U35" s="10">
        <v>45922.0</v>
      </c>
    </row>
    <row r="36">
      <c r="A36" s="1" t="s">
        <v>36</v>
      </c>
      <c r="B36" s="1">
        <v>43.0</v>
      </c>
      <c r="C36" s="1" t="s">
        <v>119</v>
      </c>
      <c r="D36" s="10">
        <v>45934.0</v>
      </c>
      <c r="R36" s="1" t="s">
        <v>36</v>
      </c>
      <c r="S36" s="1">
        <v>35.0</v>
      </c>
      <c r="T36" s="1" t="s">
        <v>120</v>
      </c>
      <c r="U36" s="10">
        <v>45921.0</v>
      </c>
    </row>
    <row r="37">
      <c r="A37" s="1" t="s">
        <v>36</v>
      </c>
      <c r="B37" s="1">
        <v>65.34</v>
      </c>
      <c r="C37" s="1" t="s">
        <v>121</v>
      </c>
      <c r="D37" s="10">
        <v>45934.0</v>
      </c>
      <c r="R37" s="1" t="s">
        <v>73</v>
      </c>
      <c r="S37" s="1">
        <v>250.0</v>
      </c>
      <c r="T37" s="1" t="s">
        <v>122</v>
      </c>
      <c r="U37" s="10">
        <v>45920.0</v>
      </c>
    </row>
    <row r="38">
      <c r="A38" s="1" t="s">
        <v>50</v>
      </c>
      <c r="B38" s="1">
        <v>1280.0</v>
      </c>
      <c r="C38" s="1" t="s">
        <v>123</v>
      </c>
      <c r="D38" s="10">
        <v>45932.0</v>
      </c>
      <c r="R38" s="1" t="s">
        <v>36</v>
      </c>
      <c r="S38" s="1">
        <v>149.99</v>
      </c>
      <c r="T38" s="1" t="s">
        <v>124</v>
      </c>
      <c r="U38" s="10">
        <v>45920.0</v>
      </c>
    </row>
    <row r="39">
      <c r="A39" s="1" t="s">
        <v>50</v>
      </c>
      <c r="B39" s="1">
        <v>363.0</v>
      </c>
      <c r="C39" s="1" t="s">
        <v>125</v>
      </c>
      <c r="D39" s="10">
        <v>45932.0</v>
      </c>
      <c r="R39" s="1" t="s">
        <v>41</v>
      </c>
      <c r="S39" s="1">
        <v>6.98</v>
      </c>
      <c r="T39" s="1" t="s">
        <v>126</v>
      </c>
      <c r="U39" s="10">
        <v>45920.0</v>
      </c>
    </row>
    <row r="40">
      <c r="A40" s="1" t="s">
        <v>36</v>
      </c>
      <c r="B40" s="1">
        <v>124.92</v>
      </c>
      <c r="C40" s="1" t="s">
        <v>127</v>
      </c>
      <c r="D40" s="10">
        <v>45932.0</v>
      </c>
      <c r="R40" s="1" t="s">
        <v>62</v>
      </c>
      <c r="S40" s="1">
        <v>26.0</v>
      </c>
      <c r="T40" s="1" t="s">
        <v>128</v>
      </c>
      <c r="U40" s="10">
        <v>45919.0</v>
      </c>
    </row>
    <row r="41">
      <c r="A41" s="1" t="s">
        <v>36</v>
      </c>
      <c r="B41" s="1">
        <v>9.0</v>
      </c>
      <c r="C41" s="1" t="s">
        <v>129</v>
      </c>
      <c r="D41" s="10">
        <v>45932.0</v>
      </c>
      <c r="R41" s="1" t="s">
        <v>37</v>
      </c>
      <c r="S41" s="1">
        <v>5.0</v>
      </c>
      <c r="T41" s="1" t="s">
        <v>130</v>
      </c>
      <c r="U41" s="10">
        <v>45918.0</v>
      </c>
    </row>
    <row r="42">
      <c r="A42" s="1" t="s">
        <v>73</v>
      </c>
      <c r="B42" s="1">
        <v>250.0</v>
      </c>
      <c r="C42" s="1" t="s">
        <v>131</v>
      </c>
      <c r="D42" s="10">
        <v>45932.0</v>
      </c>
      <c r="R42" s="1" t="s">
        <v>37</v>
      </c>
      <c r="S42" s="1">
        <v>5.0</v>
      </c>
      <c r="T42" s="1" t="s">
        <v>132</v>
      </c>
      <c r="U42" s="10">
        <v>45918.0</v>
      </c>
    </row>
    <row r="43">
      <c r="A43" s="1" t="s">
        <v>47</v>
      </c>
      <c r="B43" s="1">
        <v>59.4</v>
      </c>
      <c r="C43" s="1" t="s">
        <v>133</v>
      </c>
      <c r="D43" s="10">
        <v>45931.0</v>
      </c>
      <c r="R43" s="1" t="s">
        <v>58</v>
      </c>
      <c r="S43" s="1">
        <v>14.99</v>
      </c>
      <c r="T43" s="1" t="s">
        <v>134</v>
      </c>
      <c r="U43" s="10">
        <v>45918.0</v>
      </c>
    </row>
    <row r="44">
      <c r="A44" s="1" t="s">
        <v>58</v>
      </c>
      <c r="B44" s="1">
        <v>82.29</v>
      </c>
      <c r="C44" s="1" t="s">
        <v>135</v>
      </c>
      <c r="D44" s="10">
        <v>45939.0</v>
      </c>
      <c r="R44" s="1" t="s">
        <v>41</v>
      </c>
      <c r="S44" s="1">
        <v>10.99</v>
      </c>
      <c r="T44" s="1" t="s">
        <v>136</v>
      </c>
      <c r="U44" s="10">
        <v>45918.0</v>
      </c>
    </row>
    <row r="45">
      <c r="A45" s="1" t="s">
        <v>58</v>
      </c>
      <c r="B45" s="1">
        <v>253.5</v>
      </c>
      <c r="C45" s="1" t="s">
        <v>137</v>
      </c>
      <c r="D45" s="10">
        <v>45939.0</v>
      </c>
      <c r="R45" s="1" t="s">
        <v>37</v>
      </c>
      <c r="S45" s="1">
        <v>5.0</v>
      </c>
      <c r="T45" s="1" t="s">
        <v>138</v>
      </c>
      <c r="U45" s="10">
        <v>45917.0</v>
      </c>
    </row>
    <row r="46">
      <c r="A46" s="1" t="s">
        <v>47</v>
      </c>
      <c r="B46" s="1">
        <v>2239.72</v>
      </c>
      <c r="C46" s="1" t="s">
        <v>139</v>
      </c>
      <c r="D46" s="10">
        <v>45932.0</v>
      </c>
      <c r="R46" s="1" t="s">
        <v>62</v>
      </c>
      <c r="S46" s="1">
        <v>94.0</v>
      </c>
      <c r="T46" s="1" t="s">
        <v>140</v>
      </c>
      <c r="U46" s="10">
        <v>45917.0</v>
      </c>
    </row>
    <row r="47">
      <c r="D47" s="10"/>
      <c r="R47" s="1" t="s">
        <v>37</v>
      </c>
      <c r="S47" s="1">
        <v>5.0</v>
      </c>
      <c r="T47" s="1" t="s">
        <v>141</v>
      </c>
      <c r="U47" s="10">
        <v>45917.0</v>
      </c>
    </row>
    <row r="48">
      <c r="D48" s="10"/>
      <c r="R48" s="1" t="s">
        <v>41</v>
      </c>
      <c r="S48" s="1">
        <v>10.99</v>
      </c>
      <c r="T48" s="1" t="s">
        <v>142</v>
      </c>
      <c r="U48" s="10">
        <v>45917.0</v>
      </c>
    </row>
    <row r="49">
      <c r="D49" s="10"/>
      <c r="R49" s="1" t="s">
        <v>36</v>
      </c>
      <c r="S49" s="1">
        <v>73.0</v>
      </c>
      <c r="T49" s="1" t="s">
        <v>143</v>
      </c>
      <c r="U49" s="10">
        <v>45916.0</v>
      </c>
    </row>
    <row r="50">
      <c r="D50" s="10"/>
      <c r="R50" s="1" t="s">
        <v>36</v>
      </c>
      <c r="S50" s="1">
        <v>5.5</v>
      </c>
      <c r="T50" s="1" t="s">
        <v>144</v>
      </c>
      <c r="U50" s="10">
        <v>45916.0</v>
      </c>
    </row>
    <row r="51">
      <c r="D51" s="10"/>
      <c r="R51" s="1" t="s">
        <v>58</v>
      </c>
      <c r="S51" s="1">
        <v>25.0</v>
      </c>
      <c r="T51" s="1" t="s">
        <v>145</v>
      </c>
      <c r="U51" s="10">
        <v>45915.0</v>
      </c>
    </row>
    <row r="52">
      <c r="D52" s="10"/>
      <c r="R52" s="1" t="s">
        <v>42</v>
      </c>
      <c r="S52" s="1">
        <v>41.0</v>
      </c>
      <c r="T52" s="1" t="s">
        <v>146</v>
      </c>
      <c r="U52" s="10">
        <v>45915.0</v>
      </c>
    </row>
    <row r="53">
      <c r="D53" s="10"/>
      <c r="R53" s="1" t="s">
        <v>47</v>
      </c>
      <c r="S53" s="1">
        <v>14.1</v>
      </c>
      <c r="T53" s="1" t="s">
        <v>147</v>
      </c>
      <c r="U53" s="10">
        <v>45915.0</v>
      </c>
    </row>
    <row r="54">
      <c r="D54" s="10"/>
      <c r="R54" s="1" t="s">
        <v>148</v>
      </c>
      <c r="S54" s="1">
        <v>43.98</v>
      </c>
      <c r="T54" s="1" t="s">
        <v>149</v>
      </c>
      <c r="U54" s="10">
        <v>45915.0</v>
      </c>
    </row>
    <row r="55">
      <c r="D55" s="10"/>
      <c r="R55" s="1" t="s">
        <v>47</v>
      </c>
      <c r="S55" s="1">
        <v>38.0</v>
      </c>
      <c r="T55" s="1" t="s">
        <v>150</v>
      </c>
      <c r="U55" s="10">
        <v>45915.0</v>
      </c>
    </row>
    <row r="56">
      <c r="D56" s="10"/>
      <c r="R56" s="1" t="s">
        <v>42</v>
      </c>
      <c r="S56" s="1">
        <v>220.99</v>
      </c>
      <c r="T56" s="1" t="s">
        <v>151</v>
      </c>
      <c r="U56" s="10">
        <v>45915.0</v>
      </c>
    </row>
    <row r="57">
      <c r="D57" s="10"/>
      <c r="R57" s="1" t="s">
        <v>47</v>
      </c>
      <c r="S57" s="1">
        <v>13.5</v>
      </c>
      <c r="T57" s="1" t="s">
        <v>152</v>
      </c>
      <c r="U57" s="10">
        <v>45915.0</v>
      </c>
    </row>
    <row r="58">
      <c r="D58" s="10"/>
      <c r="R58" s="1" t="s">
        <v>41</v>
      </c>
      <c r="S58" s="1">
        <v>13.98</v>
      </c>
      <c r="T58" s="1" t="s">
        <v>153</v>
      </c>
      <c r="U58" s="10">
        <v>45914.0</v>
      </c>
    </row>
    <row r="59">
      <c r="D59" s="10"/>
      <c r="R59" s="1" t="s">
        <v>41</v>
      </c>
      <c r="S59" s="1">
        <v>7.3</v>
      </c>
      <c r="T59" s="1" t="s">
        <v>154</v>
      </c>
      <c r="U59" s="10">
        <v>45914.0</v>
      </c>
    </row>
    <row r="60">
      <c r="D60" s="10"/>
      <c r="R60" s="1" t="s">
        <v>36</v>
      </c>
      <c r="S60" s="1">
        <v>32.95</v>
      </c>
      <c r="T60" s="1" t="s">
        <v>155</v>
      </c>
      <c r="U60" s="10">
        <v>45914.0</v>
      </c>
    </row>
    <row r="61">
      <c r="D61" s="10"/>
      <c r="R61" s="1" t="s">
        <v>50</v>
      </c>
      <c r="S61" s="1">
        <v>103.5</v>
      </c>
      <c r="T61" s="1" t="s">
        <v>156</v>
      </c>
      <c r="U61" s="10">
        <v>45914.0</v>
      </c>
    </row>
    <row r="62">
      <c r="D62" s="10"/>
      <c r="R62" s="1" t="s">
        <v>36</v>
      </c>
      <c r="S62" s="1">
        <v>4.5</v>
      </c>
      <c r="T62" s="1" t="s">
        <v>157</v>
      </c>
      <c r="U62" s="10">
        <v>45911.0</v>
      </c>
    </row>
    <row r="63">
      <c r="D63" s="10"/>
      <c r="R63" s="1" t="s">
        <v>47</v>
      </c>
      <c r="S63" s="1">
        <v>668.0</v>
      </c>
      <c r="T63" s="1" t="s">
        <v>158</v>
      </c>
      <c r="U63" s="10">
        <v>45910.0</v>
      </c>
    </row>
    <row r="64">
      <c r="D64" s="10"/>
      <c r="R64" s="1" t="s">
        <v>73</v>
      </c>
      <c r="S64" s="1">
        <v>250.0</v>
      </c>
      <c r="T64" s="1" t="s">
        <v>159</v>
      </c>
      <c r="U64" s="10">
        <v>45910.0</v>
      </c>
    </row>
    <row r="65">
      <c r="D65" s="10"/>
      <c r="R65" s="1" t="s">
        <v>47</v>
      </c>
      <c r="S65" s="1">
        <v>36.0</v>
      </c>
      <c r="T65" s="1" t="s">
        <v>160</v>
      </c>
      <c r="U65" s="10">
        <v>45909.0</v>
      </c>
    </row>
    <row r="66">
      <c r="D66" s="10"/>
      <c r="R66" s="1" t="s">
        <v>47</v>
      </c>
      <c r="S66" s="1">
        <v>36.0</v>
      </c>
      <c r="T66" s="1" t="s">
        <v>161</v>
      </c>
      <c r="U66" s="10">
        <v>45909.0</v>
      </c>
    </row>
    <row r="67">
      <c r="D67" s="10"/>
      <c r="R67" s="1" t="s">
        <v>58</v>
      </c>
      <c r="S67" s="1">
        <v>10.0</v>
      </c>
      <c r="T67" s="1" t="s">
        <v>162</v>
      </c>
      <c r="U67" s="10">
        <v>45908.0</v>
      </c>
    </row>
    <row r="68">
      <c r="D68" s="10"/>
      <c r="R68" s="1" t="s">
        <v>58</v>
      </c>
      <c r="S68" s="1">
        <v>10.0</v>
      </c>
      <c r="T68" s="1" t="s">
        <v>163</v>
      </c>
      <c r="U68" s="10">
        <v>45908.0</v>
      </c>
    </row>
    <row r="69">
      <c r="D69" s="10"/>
      <c r="R69" s="1" t="s">
        <v>50</v>
      </c>
      <c r="S69" s="1">
        <v>275.0</v>
      </c>
      <c r="T69" s="1" t="s">
        <v>164</v>
      </c>
      <c r="U69" s="10">
        <v>45908.0</v>
      </c>
    </row>
    <row r="70">
      <c r="D70" s="10"/>
      <c r="R70" s="1" t="s">
        <v>37</v>
      </c>
      <c r="S70" s="1">
        <v>5.0</v>
      </c>
      <c r="T70" s="1" t="s">
        <v>165</v>
      </c>
      <c r="U70" s="10">
        <v>45908.0</v>
      </c>
    </row>
    <row r="71">
      <c r="D71" s="10"/>
      <c r="R71" s="1" t="s">
        <v>37</v>
      </c>
      <c r="S71" s="1">
        <v>5.0</v>
      </c>
      <c r="T71" s="1" t="s">
        <v>166</v>
      </c>
      <c r="U71" s="10">
        <v>45908.0</v>
      </c>
    </row>
    <row r="72">
      <c r="D72" s="10"/>
      <c r="R72" s="1" t="s">
        <v>36</v>
      </c>
      <c r="S72" s="1">
        <v>51.99</v>
      </c>
      <c r="T72" s="1" t="s">
        <v>167</v>
      </c>
      <c r="U72" s="10">
        <v>45908.0</v>
      </c>
    </row>
    <row r="73">
      <c r="D73" s="10"/>
      <c r="R73" s="1" t="s">
        <v>56</v>
      </c>
      <c r="S73" s="1">
        <v>98.0</v>
      </c>
      <c r="T73" s="1" t="s">
        <v>168</v>
      </c>
      <c r="U73" s="10">
        <v>45907.0</v>
      </c>
    </row>
    <row r="74">
      <c r="D74" s="10"/>
      <c r="R74" s="1" t="s">
        <v>36</v>
      </c>
      <c r="S74" s="1">
        <v>88.39</v>
      </c>
      <c r="T74" s="1" t="s">
        <v>169</v>
      </c>
      <c r="U74" s="10">
        <v>45907.0</v>
      </c>
    </row>
    <row r="75">
      <c r="D75" s="10"/>
      <c r="R75" s="1" t="s">
        <v>41</v>
      </c>
      <c r="S75" s="1">
        <v>15.5</v>
      </c>
      <c r="T75" s="1" t="s">
        <v>170</v>
      </c>
      <c r="U75" s="10">
        <v>45907.0</v>
      </c>
    </row>
    <row r="76">
      <c r="D76" s="10"/>
      <c r="R76" s="1" t="s">
        <v>36</v>
      </c>
      <c r="S76" s="1">
        <v>33.97</v>
      </c>
      <c r="T76" s="1" t="s">
        <v>171</v>
      </c>
      <c r="U76" s="10">
        <v>45907.0</v>
      </c>
    </row>
    <row r="77">
      <c r="D77" s="10"/>
      <c r="R77" s="1" t="s">
        <v>51</v>
      </c>
      <c r="S77" s="1">
        <v>22.97</v>
      </c>
      <c r="T77" s="1" t="s">
        <v>172</v>
      </c>
      <c r="U77" s="10">
        <v>45906.0</v>
      </c>
    </row>
    <row r="78">
      <c r="D78" s="10"/>
      <c r="R78" s="1" t="s">
        <v>47</v>
      </c>
      <c r="S78" s="1">
        <v>36.0</v>
      </c>
      <c r="T78" s="1" t="s">
        <v>173</v>
      </c>
      <c r="U78" s="10">
        <v>45906.0</v>
      </c>
    </row>
    <row r="79">
      <c r="D79" s="10"/>
      <c r="R79" s="1" t="s">
        <v>51</v>
      </c>
      <c r="S79" s="1">
        <v>4.49</v>
      </c>
      <c r="T79" s="1" t="s">
        <v>174</v>
      </c>
      <c r="U79" s="10">
        <v>45906.0</v>
      </c>
    </row>
    <row r="80">
      <c r="D80" s="10"/>
      <c r="R80" s="1" t="s">
        <v>36</v>
      </c>
      <c r="S80" s="1">
        <v>90.0</v>
      </c>
      <c r="T80" s="1" t="s">
        <v>175</v>
      </c>
      <c r="U80" s="10">
        <v>45906.0</v>
      </c>
    </row>
    <row r="81">
      <c r="D81" s="10"/>
      <c r="R81" s="1" t="s">
        <v>41</v>
      </c>
      <c r="S81" s="1">
        <v>21.49</v>
      </c>
      <c r="T81" s="1" t="s">
        <v>176</v>
      </c>
      <c r="U81" s="10">
        <v>45906.0</v>
      </c>
    </row>
    <row r="82">
      <c r="D82" s="10"/>
      <c r="R82" s="1" t="s">
        <v>47</v>
      </c>
      <c r="S82" s="1">
        <v>36.0</v>
      </c>
      <c r="T82" s="1" t="s">
        <v>177</v>
      </c>
      <c r="U82" s="10">
        <v>45906.0</v>
      </c>
    </row>
    <row r="83">
      <c r="D83" s="10"/>
      <c r="R83" s="1" t="s">
        <v>58</v>
      </c>
      <c r="S83" s="1">
        <v>59.99</v>
      </c>
      <c r="T83" s="1" t="s">
        <v>178</v>
      </c>
      <c r="U83" s="10">
        <v>45905.0</v>
      </c>
    </row>
    <row r="84">
      <c r="D84" s="10"/>
      <c r="R84" s="1" t="s">
        <v>56</v>
      </c>
      <c r="S84" s="1">
        <v>24.0</v>
      </c>
      <c r="T84" s="1" t="s">
        <v>179</v>
      </c>
      <c r="U84" s="10">
        <v>45904.0</v>
      </c>
    </row>
    <row r="85">
      <c r="D85" s="10"/>
      <c r="R85" s="1" t="s">
        <v>73</v>
      </c>
      <c r="S85" s="1">
        <v>250.0</v>
      </c>
      <c r="T85" s="1" t="s">
        <v>180</v>
      </c>
      <c r="U85" s="10">
        <v>45903.0</v>
      </c>
    </row>
    <row r="86">
      <c r="D86" s="10"/>
      <c r="R86" s="1" t="s">
        <v>56</v>
      </c>
      <c r="S86" s="1">
        <v>35.24</v>
      </c>
      <c r="T86" s="1" t="s">
        <v>181</v>
      </c>
      <c r="U86" s="10">
        <v>45903.0</v>
      </c>
    </row>
    <row r="87">
      <c r="D87" s="10"/>
      <c r="R87" s="1" t="s">
        <v>56</v>
      </c>
      <c r="S87" s="1">
        <v>375.0</v>
      </c>
      <c r="T87" s="1" t="s">
        <v>182</v>
      </c>
      <c r="U87" s="10">
        <v>45903.0</v>
      </c>
    </row>
    <row r="88">
      <c r="D88" s="10"/>
      <c r="R88" s="1" t="s">
        <v>50</v>
      </c>
      <c r="S88" s="1">
        <v>1280.0</v>
      </c>
      <c r="T88" s="1" t="s">
        <v>123</v>
      </c>
      <c r="U88" s="10">
        <v>45903.0</v>
      </c>
    </row>
    <row r="89">
      <c r="D89" s="10"/>
      <c r="R89" s="1" t="s">
        <v>50</v>
      </c>
      <c r="S89" s="1">
        <v>363.0</v>
      </c>
      <c r="T89" s="1" t="s">
        <v>183</v>
      </c>
      <c r="U89" s="10">
        <v>45902.0</v>
      </c>
    </row>
    <row r="90">
      <c r="D90" s="10"/>
      <c r="R90" s="1" t="s">
        <v>47</v>
      </c>
      <c r="S90" s="1">
        <v>9.45</v>
      </c>
      <c r="T90" s="1" t="s">
        <v>184</v>
      </c>
      <c r="U90" s="10">
        <v>45902.0</v>
      </c>
    </row>
    <row r="91">
      <c r="D91" s="10"/>
      <c r="R91" s="1" t="s">
        <v>62</v>
      </c>
      <c r="S91" s="1">
        <v>99.58</v>
      </c>
      <c r="T91" s="1" t="s">
        <v>185</v>
      </c>
      <c r="U91" s="10">
        <v>45902.0</v>
      </c>
    </row>
    <row r="92">
      <c r="D92" s="10"/>
      <c r="R92" s="1" t="s">
        <v>37</v>
      </c>
      <c r="S92" s="1">
        <v>5.0</v>
      </c>
      <c r="T92" s="1" t="s">
        <v>186</v>
      </c>
      <c r="U92" s="10">
        <v>45901.0</v>
      </c>
    </row>
    <row r="93">
      <c r="D93" s="10"/>
      <c r="R93" s="1" t="s">
        <v>37</v>
      </c>
      <c r="S93" s="1">
        <v>30.0</v>
      </c>
      <c r="T93" s="1" t="s">
        <v>187</v>
      </c>
      <c r="U93" s="10">
        <v>45901.0</v>
      </c>
    </row>
    <row r="94">
      <c r="D94" s="10"/>
      <c r="R94" s="1" t="s">
        <v>41</v>
      </c>
      <c r="S94" s="1">
        <v>10.99</v>
      </c>
      <c r="T94" s="1" t="s">
        <v>188</v>
      </c>
      <c r="U94" s="10">
        <v>45901.0</v>
      </c>
    </row>
    <row r="95">
      <c r="D95" s="10"/>
      <c r="R95" s="1" t="s">
        <v>42</v>
      </c>
      <c r="S95" s="1">
        <v>159.0</v>
      </c>
      <c r="T95" s="1" t="s">
        <v>189</v>
      </c>
      <c r="U95" s="10">
        <v>45901.0</v>
      </c>
    </row>
    <row r="96">
      <c r="D96" s="10"/>
      <c r="R96" s="1" t="s">
        <v>47</v>
      </c>
      <c r="S96" s="1">
        <v>18.59</v>
      </c>
      <c r="T96" s="1" t="s">
        <v>190</v>
      </c>
      <c r="U96" s="10">
        <v>45901.0</v>
      </c>
    </row>
    <row r="97">
      <c r="D97" s="10"/>
      <c r="R97" s="1" t="s">
        <v>51</v>
      </c>
      <c r="S97" s="1">
        <v>20.0</v>
      </c>
      <c r="T97" s="1" t="s">
        <v>191</v>
      </c>
      <c r="U97" s="10">
        <v>45901.0</v>
      </c>
    </row>
    <row r="98">
      <c r="D98" s="10"/>
      <c r="R98" s="1" t="s">
        <v>42</v>
      </c>
      <c r="S98" s="1">
        <v>204.0</v>
      </c>
      <c r="T98" s="1" t="s">
        <v>192</v>
      </c>
      <c r="U98" s="10">
        <v>45901.0</v>
      </c>
    </row>
    <row r="99">
      <c r="D99" s="10"/>
      <c r="R99" s="1" t="s">
        <v>56</v>
      </c>
      <c r="S99" s="1">
        <v>1592.0</v>
      </c>
      <c r="T99" s="1" t="s">
        <v>193</v>
      </c>
      <c r="U99" s="10">
        <v>45929.0</v>
      </c>
    </row>
    <row r="100">
      <c r="D100" s="10"/>
      <c r="R100" s="1" t="s">
        <v>58</v>
      </c>
      <c r="S100" s="1">
        <v>229.58</v>
      </c>
      <c r="T100" s="1" t="s">
        <v>194</v>
      </c>
      <c r="U100" s="10">
        <v>45929.0</v>
      </c>
    </row>
    <row r="101">
      <c r="D101" s="10"/>
      <c r="R101" s="1" t="s">
        <v>58</v>
      </c>
      <c r="S101" s="1">
        <v>360.0</v>
      </c>
      <c r="T101" s="1" t="s">
        <v>195</v>
      </c>
      <c r="U101" s="10">
        <v>45926.0</v>
      </c>
    </row>
    <row r="102">
      <c r="D102" s="10"/>
      <c r="R102" s="1" t="s">
        <v>58</v>
      </c>
      <c r="S102" s="1">
        <v>381.87</v>
      </c>
      <c r="T102" s="1" t="s">
        <v>196</v>
      </c>
      <c r="U102" s="10">
        <v>45926.0</v>
      </c>
    </row>
    <row r="103">
      <c r="D103" s="10"/>
      <c r="R103" s="1" t="s">
        <v>51</v>
      </c>
      <c r="S103" s="1">
        <v>209.28</v>
      </c>
      <c r="T103" s="1" t="s">
        <v>197</v>
      </c>
      <c r="U103" s="10">
        <v>45922.0</v>
      </c>
    </row>
    <row r="104">
      <c r="D104" s="10"/>
      <c r="R104" s="1" t="s">
        <v>51</v>
      </c>
      <c r="S104" s="1">
        <v>152.27</v>
      </c>
      <c r="T104" s="1" t="s">
        <v>198</v>
      </c>
      <c r="U104" s="10">
        <v>45920.0</v>
      </c>
    </row>
    <row r="105">
      <c r="D105" s="10"/>
      <c r="R105" s="1" t="s">
        <v>47</v>
      </c>
      <c r="S105" s="1">
        <v>260.0</v>
      </c>
      <c r="T105" s="1" t="s">
        <v>199</v>
      </c>
      <c r="U105" s="10">
        <v>45917.0</v>
      </c>
    </row>
    <row r="106">
      <c r="D106" s="10"/>
      <c r="R106" s="1" t="s">
        <v>56</v>
      </c>
      <c r="S106" s="1">
        <v>1099.0</v>
      </c>
      <c r="T106" s="1" t="s">
        <v>200</v>
      </c>
      <c r="U106" s="10">
        <v>45915.0</v>
      </c>
    </row>
    <row r="107">
      <c r="D107" s="10"/>
      <c r="R107" s="1" t="s">
        <v>201</v>
      </c>
      <c r="S107" s="1">
        <v>3213.25</v>
      </c>
      <c r="T107" s="1" t="s">
        <v>202</v>
      </c>
      <c r="U107" s="10">
        <v>45915.0</v>
      </c>
    </row>
    <row r="108">
      <c r="D108" s="10"/>
      <c r="R108" s="1" t="s">
        <v>40</v>
      </c>
      <c r="S108" s="1">
        <v>12.0</v>
      </c>
      <c r="T108" s="1" t="s">
        <v>203</v>
      </c>
      <c r="U108" s="10">
        <v>45915.0</v>
      </c>
    </row>
    <row r="109">
      <c r="D109" s="10"/>
      <c r="R109" s="1" t="s">
        <v>40</v>
      </c>
      <c r="S109" s="1">
        <v>3268.0</v>
      </c>
      <c r="T109" s="1" t="s">
        <v>204</v>
      </c>
      <c r="U109" s="10">
        <v>45915.0</v>
      </c>
    </row>
    <row r="110">
      <c r="D110" s="10"/>
      <c r="R110" s="1" t="s">
        <v>46</v>
      </c>
      <c r="S110" s="1">
        <v>5619.0</v>
      </c>
      <c r="T110" s="1" t="s">
        <v>205</v>
      </c>
      <c r="U110" s="10">
        <v>45915.0</v>
      </c>
    </row>
    <row r="111">
      <c r="D111" s="10"/>
      <c r="R111" s="1" t="s">
        <v>51</v>
      </c>
      <c r="S111" s="1">
        <v>224.51</v>
      </c>
      <c r="T111" s="1" t="s">
        <v>206</v>
      </c>
      <c r="U111" s="10">
        <v>45907.0</v>
      </c>
    </row>
    <row r="112">
      <c r="D112" s="10"/>
      <c r="R112" s="1" t="s">
        <v>51</v>
      </c>
      <c r="S112" s="1">
        <v>264.39</v>
      </c>
      <c r="T112" s="1" t="s">
        <v>207</v>
      </c>
      <c r="U112" s="10">
        <v>45904.0</v>
      </c>
    </row>
    <row r="113">
      <c r="D113" s="10"/>
      <c r="R113" s="1" t="s">
        <v>47</v>
      </c>
      <c r="S113" s="1">
        <v>2252.71</v>
      </c>
      <c r="T113" s="1" t="s">
        <v>208</v>
      </c>
      <c r="U113" s="10">
        <v>45904.0</v>
      </c>
    </row>
    <row r="114">
      <c r="D114" s="10"/>
      <c r="R114" s="1" t="s">
        <v>58</v>
      </c>
      <c r="S114" s="1">
        <v>82.29</v>
      </c>
      <c r="T114" s="1" t="s">
        <v>209</v>
      </c>
      <c r="U114" s="10">
        <v>45904.0</v>
      </c>
    </row>
    <row r="115">
      <c r="R115" s="1" t="s">
        <v>58</v>
      </c>
      <c r="S115" s="1">
        <v>247.1</v>
      </c>
      <c r="T115" s="1" t="s">
        <v>210</v>
      </c>
      <c r="U115" s="10">
        <v>45904.0</v>
      </c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DB56FE4D-69BC-4E44-A2B9-5F7BA227A86E}" filter="1" showAutoFilter="1">
      <autoFilter ref="$A$2:$D$114">
        <sortState ref="A2:D114">
          <sortCondition ref="D2:D114"/>
          <sortCondition ref="B2:B114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0.7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14488.75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A3" s="1" t="s">
        <v>42</v>
      </c>
      <c r="B3" s="1">
        <v>23.9</v>
      </c>
      <c r="C3" s="1" t="s">
        <v>43</v>
      </c>
      <c r="D3" s="10">
        <v>45930.0</v>
      </c>
      <c r="E3" s="1" t="s">
        <v>34</v>
      </c>
      <c r="F3" s="8">
        <v>32914.0</v>
      </c>
      <c r="H3" s="2">
        <f>Zbiorczy!D63</f>
        <v>158860.84</v>
      </c>
      <c r="J3" s="3">
        <f t="shared" ref="J3:J7" si="1">SUMIF($A$3:A$197, K3, B$3:B$197)</f>
        <v>3213.25</v>
      </c>
      <c r="K3" s="1" t="s">
        <v>35</v>
      </c>
      <c r="M3" s="3">
        <f t="shared" ref="M3:M9" si="2">SUMIF($A$3:A$197, N3, B$3:B$197)</f>
        <v>1001.99</v>
      </c>
      <c r="N3" s="1" t="s">
        <v>36</v>
      </c>
      <c r="R3" s="1" t="s">
        <v>30</v>
      </c>
      <c r="S3" s="1" t="s">
        <v>31</v>
      </c>
      <c r="T3" s="1" t="s">
        <v>32</v>
      </c>
      <c r="U3" s="1" t="s">
        <v>33</v>
      </c>
    </row>
    <row r="4">
      <c r="A4" s="1" t="s">
        <v>42</v>
      </c>
      <c r="B4" s="1">
        <v>36.0</v>
      </c>
      <c r="C4" s="1" t="s">
        <v>48</v>
      </c>
      <c r="D4" s="10">
        <v>45930.0</v>
      </c>
      <c r="E4" s="1" t="s">
        <v>39</v>
      </c>
      <c r="J4" s="3">
        <f t="shared" si="1"/>
        <v>3280</v>
      </c>
      <c r="K4" s="1" t="s">
        <v>40</v>
      </c>
      <c r="M4" s="3">
        <f t="shared" si="2"/>
        <v>115.81</v>
      </c>
      <c r="N4" s="1" t="s">
        <v>41</v>
      </c>
      <c r="R4" s="1" t="s">
        <v>42</v>
      </c>
      <c r="S4" s="1">
        <v>23.9</v>
      </c>
      <c r="T4" s="1" t="s">
        <v>43</v>
      </c>
      <c r="U4" s="10">
        <v>45930.0</v>
      </c>
    </row>
    <row r="5">
      <c r="A5" s="1" t="s">
        <v>50</v>
      </c>
      <c r="B5" s="1">
        <v>320.0</v>
      </c>
      <c r="C5" s="1" t="s">
        <v>52</v>
      </c>
      <c r="D5" s="10">
        <v>45929.0</v>
      </c>
      <c r="E5" s="1" t="s">
        <v>45</v>
      </c>
      <c r="J5" s="3">
        <f t="shared" si="1"/>
        <v>5619</v>
      </c>
      <c r="K5" s="1" t="s">
        <v>46</v>
      </c>
      <c r="M5" s="3">
        <f t="shared" si="2"/>
        <v>3462.84</v>
      </c>
      <c r="N5" s="1" t="s">
        <v>47</v>
      </c>
      <c r="R5" s="1" t="s">
        <v>42</v>
      </c>
      <c r="S5" s="1">
        <v>36.0</v>
      </c>
      <c r="T5" s="1" t="s">
        <v>48</v>
      </c>
      <c r="U5" s="10">
        <v>45930.0</v>
      </c>
    </row>
    <row r="6">
      <c r="A6" s="1" t="s">
        <v>37</v>
      </c>
      <c r="B6" s="1">
        <v>5.0</v>
      </c>
      <c r="C6" s="1" t="s">
        <v>57</v>
      </c>
      <c r="D6" s="10">
        <v>45929.0</v>
      </c>
      <c r="J6" s="3">
        <f t="shared" si="1"/>
        <v>2376.5</v>
      </c>
      <c r="K6" s="1" t="s">
        <v>50</v>
      </c>
      <c r="M6" s="3">
        <f t="shared" si="2"/>
        <v>897.91</v>
      </c>
      <c r="N6" s="1" t="s">
        <v>51</v>
      </c>
      <c r="R6" s="1" t="s">
        <v>50</v>
      </c>
      <c r="S6" s="1">
        <v>320.0</v>
      </c>
      <c r="T6" s="1" t="s">
        <v>52</v>
      </c>
      <c r="U6" s="10">
        <v>45929.0</v>
      </c>
    </row>
    <row r="7">
      <c r="A7" s="1" t="s">
        <v>37</v>
      </c>
      <c r="B7" s="1">
        <v>5.0</v>
      </c>
      <c r="C7" s="1" t="s">
        <v>60</v>
      </c>
      <c r="D7" s="10">
        <v>45929.0</v>
      </c>
      <c r="J7" s="3">
        <f t="shared" si="1"/>
        <v>0</v>
      </c>
      <c r="K7" s="1" t="s">
        <v>55</v>
      </c>
      <c r="M7" s="3">
        <f t="shared" si="2"/>
        <v>3594.59</v>
      </c>
      <c r="N7" s="1" t="s">
        <v>56</v>
      </c>
      <c r="R7" s="1" t="s">
        <v>37</v>
      </c>
      <c r="S7" s="1">
        <v>5.0</v>
      </c>
      <c r="T7" s="1" t="s">
        <v>57</v>
      </c>
      <c r="U7" s="10">
        <v>45929.0</v>
      </c>
    </row>
    <row r="8">
      <c r="A8" s="1" t="s">
        <v>62</v>
      </c>
      <c r="B8" s="1">
        <v>33.0</v>
      </c>
      <c r="C8" s="1" t="s">
        <v>63</v>
      </c>
      <c r="D8" s="10">
        <v>45929.0</v>
      </c>
      <c r="M8" s="3">
        <f t="shared" si="2"/>
        <v>3462.84</v>
      </c>
      <c r="N8" s="1" t="s">
        <v>47</v>
      </c>
      <c r="R8" s="1" t="s">
        <v>37</v>
      </c>
      <c r="S8" s="1">
        <v>5.0</v>
      </c>
      <c r="T8" s="1" t="s">
        <v>60</v>
      </c>
      <c r="U8" s="10">
        <v>45929.0</v>
      </c>
    </row>
    <row r="9">
      <c r="A9" s="1" t="s">
        <v>42</v>
      </c>
      <c r="B9" s="1">
        <v>22.0</v>
      </c>
      <c r="C9" s="1" t="s">
        <v>65</v>
      </c>
      <c r="D9" s="10">
        <v>45929.0</v>
      </c>
      <c r="M9" s="3">
        <f t="shared" si="2"/>
        <v>324.56</v>
      </c>
      <c r="N9" s="1" t="s">
        <v>62</v>
      </c>
      <c r="R9" s="1" t="s">
        <v>62</v>
      </c>
      <c r="S9" s="1">
        <v>33.0</v>
      </c>
      <c r="T9" s="1" t="s">
        <v>63</v>
      </c>
      <c r="U9" s="10">
        <v>45929.0</v>
      </c>
    </row>
    <row r="10">
      <c r="A10" s="1" t="s">
        <v>36</v>
      </c>
      <c r="B10" s="1">
        <v>59.98</v>
      </c>
      <c r="C10" s="1" t="s">
        <v>67</v>
      </c>
      <c r="D10" s="10">
        <v>45929.0</v>
      </c>
      <c r="R10" s="1" t="s">
        <v>42</v>
      </c>
      <c r="S10" s="1">
        <v>22.0</v>
      </c>
      <c r="T10" s="1" t="s">
        <v>65</v>
      </c>
      <c r="U10" s="10">
        <v>45929.0</v>
      </c>
    </row>
    <row r="11">
      <c r="A11" s="1" t="s">
        <v>36</v>
      </c>
      <c r="B11" s="1">
        <v>376.72</v>
      </c>
      <c r="C11" s="1" t="s">
        <v>69</v>
      </c>
      <c r="D11" s="10">
        <v>45929.0</v>
      </c>
      <c r="R11" s="1" t="s">
        <v>36</v>
      </c>
      <c r="S11" s="1">
        <v>59.98</v>
      </c>
      <c r="T11" s="1" t="s">
        <v>67</v>
      </c>
      <c r="U11" s="10">
        <v>45929.0</v>
      </c>
    </row>
    <row r="12">
      <c r="A12" s="1" t="s">
        <v>42</v>
      </c>
      <c r="B12" s="1">
        <v>51.0</v>
      </c>
      <c r="C12" s="1" t="s">
        <v>71</v>
      </c>
      <c r="D12" s="10">
        <v>45929.0</v>
      </c>
      <c r="R12" s="1" t="s">
        <v>36</v>
      </c>
      <c r="S12" s="1">
        <v>376.72</v>
      </c>
      <c r="T12" s="1" t="s">
        <v>69</v>
      </c>
      <c r="U12" s="10">
        <v>45929.0</v>
      </c>
    </row>
    <row r="13">
      <c r="A13" s="1" t="s">
        <v>47</v>
      </c>
      <c r="B13" s="1">
        <v>4.5</v>
      </c>
      <c r="C13" s="1" t="s">
        <v>74</v>
      </c>
      <c r="D13" s="10">
        <v>45929.0</v>
      </c>
      <c r="R13" s="1" t="s">
        <v>42</v>
      </c>
      <c r="S13" s="1">
        <v>51.0</v>
      </c>
      <c r="T13" s="1" t="s">
        <v>71</v>
      </c>
      <c r="U13" s="10">
        <v>45929.0</v>
      </c>
    </row>
    <row r="14">
      <c r="A14" s="1" t="s">
        <v>47</v>
      </c>
      <c r="B14" s="1">
        <v>4.5</v>
      </c>
      <c r="C14" s="1" t="s">
        <v>76</v>
      </c>
      <c r="D14" s="10">
        <v>45929.0</v>
      </c>
      <c r="R14" s="1" t="s">
        <v>47</v>
      </c>
      <c r="S14" s="1">
        <v>4.5</v>
      </c>
      <c r="T14" s="1" t="s">
        <v>74</v>
      </c>
      <c r="U14" s="10">
        <v>45929.0</v>
      </c>
    </row>
    <row r="15">
      <c r="A15" s="1" t="s">
        <v>42</v>
      </c>
      <c r="B15" s="1">
        <v>129.0</v>
      </c>
      <c r="C15" s="1" t="s">
        <v>78</v>
      </c>
      <c r="D15" s="10">
        <v>45928.0</v>
      </c>
      <c r="R15" s="1" t="s">
        <v>47</v>
      </c>
      <c r="S15" s="1">
        <v>4.5</v>
      </c>
      <c r="T15" s="1" t="s">
        <v>76</v>
      </c>
      <c r="U15" s="10">
        <v>45929.0</v>
      </c>
    </row>
    <row r="16">
      <c r="A16" s="1" t="s">
        <v>41</v>
      </c>
      <c r="B16" s="1">
        <v>7.49</v>
      </c>
      <c r="C16" s="1" t="s">
        <v>81</v>
      </c>
      <c r="D16" s="10">
        <v>45928.0</v>
      </c>
      <c r="R16" s="1" t="s">
        <v>42</v>
      </c>
      <c r="S16" s="1">
        <v>129.0</v>
      </c>
      <c r="T16" s="1" t="s">
        <v>78</v>
      </c>
      <c r="U16" s="10">
        <v>45928.0</v>
      </c>
    </row>
    <row r="17">
      <c r="A17" s="1" t="s">
        <v>42</v>
      </c>
      <c r="B17" s="1">
        <v>18.0</v>
      </c>
      <c r="C17" s="1" t="s">
        <v>83</v>
      </c>
      <c r="D17" s="10">
        <v>45928.0</v>
      </c>
      <c r="R17" s="1" t="s">
        <v>41</v>
      </c>
      <c r="S17" s="1">
        <v>7.49</v>
      </c>
      <c r="T17" s="1" t="s">
        <v>81</v>
      </c>
      <c r="U17" s="10">
        <v>45928.0</v>
      </c>
    </row>
    <row r="18">
      <c r="A18" s="1" t="s">
        <v>56</v>
      </c>
      <c r="B18" s="1">
        <v>24.0</v>
      </c>
      <c r="C18" s="1" t="s">
        <v>86</v>
      </c>
      <c r="D18" s="10">
        <v>45928.0</v>
      </c>
      <c r="R18" s="1" t="s">
        <v>42</v>
      </c>
      <c r="S18" s="1">
        <v>18.0</v>
      </c>
      <c r="T18" s="1" t="s">
        <v>83</v>
      </c>
      <c r="U18" s="10">
        <v>45928.0</v>
      </c>
    </row>
    <row r="19">
      <c r="A19" s="1" t="s">
        <v>62</v>
      </c>
      <c r="B19" s="1">
        <v>32.0</v>
      </c>
      <c r="C19" s="1" t="s">
        <v>88</v>
      </c>
      <c r="D19" s="10">
        <v>45928.0</v>
      </c>
      <c r="R19" s="1" t="s">
        <v>56</v>
      </c>
      <c r="S19" s="1">
        <v>24.0</v>
      </c>
      <c r="T19" s="1" t="s">
        <v>86</v>
      </c>
      <c r="U19" s="10">
        <v>45928.0</v>
      </c>
    </row>
    <row r="20">
      <c r="A20" s="1" t="s">
        <v>42</v>
      </c>
      <c r="B20" s="1">
        <v>36.0</v>
      </c>
      <c r="C20" s="1" t="s">
        <v>90</v>
      </c>
      <c r="D20" s="10">
        <v>45928.0</v>
      </c>
      <c r="R20" s="1" t="s">
        <v>62</v>
      </c>
      <c r="S20" s="1">
        <v>32.0</v>
      </c>
      <c r="T20" s="1" t="s">
        <v>88</v>
      </c>
      <c r="U20" s="10">
        <v>45928.0</v>
      </c>
    </row>
    <row r="21">
      <c r="A21" s="1" t="s">
        <v>80</v>
      </c>
      <c r="B21" s="1">
        <v>17.48</v>
      </c>
      <c r="C21" s="1" t="s">
        <v>92</v>
      </c>
      <c r="D21" s="10">
        <v>45928.0</v>
      </c>
      <c r="E21" s="11"/>
      <c r="F21" s="11"/>
      <c r="G21" s="11"/>
      <c r="R21" s="1" t="s">
        <v>42</v>
      </c>
      <c r="S21" s="1">
        <v>36.0</v>
      </c>
      <c r="T21" s="1" t="s">
        <v>90</v>
      </c>
      <c r="U21" s="10">
        <v>45928.0</v>
      </c>
    </row>
    <row r="22">
      <c r="A22" s="1" t="s">
        <v>41</v>
      </c>
      <c r="B22" s="1">
        <v>3.4</v>
      </c>
      <c r="C22" s="1" t="s">
        <v>94</v>
      </c>
      <c r="D22" s="10">
        <v>45928.0</v>
      </c>
      <c r="R22" s="1" t="s">
        <v>80</v>
      </c>
      <c r="S22" s="1">
        <v>17.48</v>
      </c>
      <c r="T22" s="1" t="s">
        <v>92</v>
      </c>
      <c r="U22" s="10">
        <v>45928.0</v>
      </c>
    </row>
    <row r="23">
      <c r="A23" s="1" t="s">
        <v>56</v>
      </c>
      <c r="B23" s="1">
        <v>192.36</v>
      </c>
      <c r="C23" s="1" t="s">
        <v>96</v>
      </c>
      <c r="D23" s="10">
        <v>45926.0</v>
      </c>
      <c r="R23" s="1" t="s">
        <v>41</v>
      </c>
      <c r="S23" s="1">
        <v>3.4</v>
      </c>
      <c r="T23" s="1" t="s">
        <v>94</v>
      </c>
      <c r="U23" s="10">
        <v>45928.0</v>
      </c>
    </row>
    <row r="24">
      <c r="A24" s="1" t="s">
        <v>50</v>
      </c>
      <c r="B24" s="1">
        <v>35.0</v>
      </c>
      <c r="C24" s="1" t="s">
        <v>98</v>
      </c>
      <c r="D24" s="10">
        <v>45926.0</v>
      </c>
      <c r="R24" s="1" t="s">
        <v>56</v>
      </c>
      <c r="S24" s="1">
        <v>192.36</v>
      </c>
      <c r="T24" s="1" t="s">
        <v>96</v>
      </c>
      <c r="U24" s="10">
        <v>45926.0</v>
      </c>
    </row>
    <row r="25">
      <c r="A25" s="1" t="s">
        <v>37</v>
      </c>
      <c r="B25" s="1">
        <v>5.0</v>
      </c>
      <c r="C25" s="1" t="s">
        <v>100</v>
      </c>
      <c r="D25" s="10">
        <v>45926.0</v>
      </c>
      <c r="R25" s="1" t="s">
        <v>50</v>
      </c>
      <c r="S25" s="1">
        <v>35.0</v>
      </c>
      <c r="T25" s="1" t="s">
        <v>98</v>
      </c>
      <c r="U25" s="10">
        <v>45926.0</v>
      </c>
    </row>
    <row r="26">
      <c r="A26" s="1" t="s">
        <v>37</v>
      </c>
      <c r="B26" s="1">
        <v>69.0</v>
      </c>
      <c r="C26" s="1" t="s">
        <v>102</v>
      </c>
      <c r="D26" s="10">
        <v>45925.0</v>
      </c>
      <c r="R26" s="1" t="s">
        <v>37</v>
      </c>
      <c r="S26" s="1">
        <v>5.0</v>
      </c>
      <c r="T26" s="1" t="s">
        <v>100</v>
      </c>
      <c r="U26" s="10">
        <v>45926.0</v>
      </c>
    </row>
    <row r="27">
      <c r="A27" s="1" t="s">
        <v>56</v>
      </c>
      <c r="B27" s="1">
        <v>154.99</v>
      </c>
      <c r="C27" s="1" t="s">
        <v>104</v>
      </c>
      <c r="D27" s="10">
        <v>45925.0</v>
      </c>
      <c r="R27" s="1" t="s">
        <v>37</v>
      </c>
      <c r="S27" s="1">
        <v>69.0</v>
      </c>
      <c r="T27" s="1" t="s">
        <v>102</v>
      </c>
      <c r="U27" s="10">
        <v>45925.0</v>
      </c>
    </row>
    <row r="28">
      <c r="A28" s="1" t="s">
        <v>37</v>
      </c>
      <c r="B28" s="1">
        <v>69.0</v>
      </c>
      <c r="C28" s="1" t="s">
        <v>106</v>
      </c>
      <c r="D28" s="10">
        <v>45925.0</v>
      </c>
      <c r="R28" s="1" t="s">
        <v>56</v>
      </c>
      <c r="S28" s="1">
        <v>154.99</v>
      </c>
      <c r="T28" s="1" t="s">
        <v>104</v>
      </c>
      <c r="U28" s="10">
        <v>45925.0</v>
      </c>
    </row>
    <row r="29">
      <c r="A29" s="1" t="s">
        <v>41</v>
      </c>
      <c r="B29" s="1">
        <v>6.7</v>
      </c>
      <c r="C29" s="1" t="s">
        <v>108</v>
      </c>
      <c r="D29" s="10">
        <v>45925.0</v>
      </c>
      <c r="R29" s="1" t="s">
        <v>37</v>
      </c>
      <c r="S29" s="1">
        <v>69.0</v>
      </c>
      <c r="T29" s="1" t="s">
        <v>106</v>
      </c>
      <c r="U29" s="10">
        <v>45925.0</v>
      </c>
    </row>
    <row r="30">
      <c r="A30" s="1" t="s">
        <v>62</v>
      </c>
      <c r="B30" s="1">
        <v>39.98</v>
      </c>
      <c r="C30" s="1" t="s">
        <v>110</v>
      </c>
      <c r="D30" s="10">
        <v>45925.0</v>
      </c>
      <c r="R30" s="1" t="s">
        <v>41</v>
      </c>
      <c r="S30" s="1">
        <v>6.7</v>
      </c>
      <c r="T30" s="1" t="s">
        <v>108</v>
      </c>
      <c r="U30" s="10">
        <v>45925.0</v>
      </c>
    </row>
    <row r="31">
      <c r="A31" s="1" t="s">
        <v>47</v>
      </c>
      <c r="B31" s="1">
        <v>4.0</v>
      </c>
      <c r="C31" s="1" t="s">
        <v>112</v>
      </c>
      <c r="D31" s="10">
        <v>45923.0</v>
      </c>
      <c r="R31" s="1" t="s">
        <v>62</v>
      </c>
      <c r="S31" s="1">
        <v>39.98</v>
      </c>
      <c r="T31" s="1" t="s">
        <v>110</v>
      </c>
      <c r="U31" s="10">
        <v>45925.0</v>
      </c>
    </row>
    <row r="32">
      <c r="A32" s="1" t="s">
        <v>58</v>
      </c>
      <c r="B32" s="1">
        <v>40.0</v>
      </c>
      <c r="C32" s="1" t="s">
        <v>114</v>
      </c>
      <c r="D32" s="10">
        <v>45922.0</v>
      </c>
      <c r="R32" s="1" t="s">
        <v>47</v>
      </c>
      <c r="S32" s="1">
        <v>4.0</v>
      </c>
      <c r="T32" s="1" t="s">
        <v>112</v>
      </c>
      <c r="U32" s="10">
        <v>45923.0</v>
      </c>
    </row>
    <row r="33">
      <c r="A33" s="1" t="s">
        <v>47</v>
      </c>
      <c r="B33" s="1">
        <v>27.49</v>
      </c>
      <c r="C33" s="1" t="s">
        <v>116</v>
      </c>
      <c r="D33" s="10">
        <v>45922.0</v>
      </c>
      <c r="R33" s="1" t="s">
        <v>58</v>
      </c>
      <c r="S33" s="1">
        <v>40.0</v>
      </c>
      <c r="T33" s="1" t="s">
        <v>114</v>
      </c>
      <c r="U33" s="10">
        <v>45922.0</v>
      </c>
    </row>
    <row r="34">
      <c r="A34" s="1" t="s">
        <v>47</v>
      </c>
      <c r="B34" s="1">
        <v>4.0</v>
      </c>
      <c r="C34" s="1" t="s">
        <v>118</v>
      </c>
      <c r="D34" s="10">
        <v>45922.0</v>
      </c>
      <c r="R34" s="1" t="s">
        <v>47</v>
      </c>
      <c r="S34" s="1">
        <v>27.49</v>
      </c>
      <c r="T34" s="1" t="s">
        <v>116</v>
      </c>
      <c r="U34" s="10">
        <v>45922.0</v>
      </c>
    </row>
    <row r="35">
      <c r="A35" s="1" t="s">
        <v>36</v>
      </c>
      <c r="B35" s="1">
        <v>35.0</v>
      </c>
      <c r="C35" s="1" t="s">
        <v>120</v>
      </c>
      <c r="D35" s="10">
        <v>45921.0</v>
      </c>
      <c r="R35" s="1" t="s">
        <v>47</v>
      </c>
      <c r="S35" s="1">
        <v>4.0</v>
      </c>
      <c r="T35" s="1" t="s">
        <v>118</v>
      </c>
      <c r="U35" s="10">
        <v>45922.0</v>
      </c>
    </row>
    <row r="36">
      <c r="A36" s="1" t="s">
        <v>73</v>
      </c>
      <c r="B36" s="1">
        <v>250.0</v>
      </c>
      <c r="C36" s="1" t="s">
        <v>122</v>
      </c>
      <c r="D36" s="10">
        <v>45920.0</v>
      </c>
      <c r="R36" s="1" t="s">
        <v>36</v>
      </c>
      <c r="S36" s="1">
        <v>35.0</v>
      </c>
      <c r="T36" s="1" t="s">
        <v>120</v>
      </c>
      <c r="U36" s="10">
        <v>45921.0</v>
      </c>
    </row>
    <row r="37">
      <c r="A37" s="1" t="s">
        <v>36</v>
      </c>
      <c r="B37" s="1">
        <v>149.99</v>
      </c>
      <c r="C37" s="1" t="s">
        <v>124</v>
      </c>
      <c r="D37" s="10">
        <v>45920.0</v>
      </c>
      <c r="R37" s="1" t="s">
        <v>73</v>
      </c>
      <c r="S37" s="1">
        <v>250.0</v>
      </c>
      <c r="T37" s="1" t="s">
        <v>122</v>
      </c>
      <c r="U37" s="10">
        <v>45920.0</v>
      </c>
    </row>
    <row r="38">
      <c r="A38" s="1" t="s">
        <v>41</v>
      </c>
      <c r="B38" s="1">
        <v>6.98</v>
      </c>
      <c r="C38" s="1" t="s">
        <v>126</v>
      </c>
      <c r="D38" s="10">
        <v>45920.0</v>
      </c>
      <c r="R38" s="1" t="s">
        <v>36</v>
      </c>
      <c r="S38" s="1">
        <v>149.99</v>
      </c>
      <c r="T38" s="1" t="s">
        <v>124</v>
      </c>
      <c r="U38" s="10">
        <v>45920.0</v>
      </c>
    </row>
    <row r="39">
      <c r="A39" s="1" t="s">
        <v>62</v>
      </c>
      <c r="B39" s="1">
        <v>26.0</v>
      </c>
      <c r="C39" s="1" t="s">
        <v>128</v>
      </c>
      <c r="D39" s="10">
        <v>45919.0</v>
      </c>
      <c r="R39" s="1" t="s">
        <v>41</v>
      </c>
      <c r="S39" s="1">
        <v>6.98</v>
      </c>
      <c r="T39" s="1" t="s">
        <v>126</v>
      </c>
      <c r="U39" s="10">
        <v>45920.0</v>
      </c>
    </row>
    <row r="40">
      <c r="A40" s="1" t="s">
        <v>37</v>
      </c>
      <c r="B40" s="1">
        <v>5.0</v>
      </c>
      <c r="C40" s="1" t="s">
        <v>130</v>
      </c>
      <c r="D40" s="10">
        <v>45918.0</v>
      </c>
      <c r="R40" s="1" t="s">
        <v>62</v>
      </c>
      <c r="S40" s="1">
        <v>26.0</v>
      </c>
      <c r="T40" s="1" t="s">
        <v>128</v>
      </c>
      <c r="U40" s="10">
        <v>45919.0</v>
      </c>
    </row>
    <row r="41">
      <c r="A41" s="1" t="s">
        <v>37</v>
      </c>
      <c r="B41" s="1">
        <v>5.0</v>
      </c>
      <c r="C41" s="1" t="s">
        <v>132</v>
      </c>
      <c r="D41" s="10">
        <v>45918.0</v>
      </c>
      <c r="R41" s="1" t="s">
        <v>37</v>
      </c>
      <c r="S41" s="1">
        <v>5.0</v>
      </c>
      <c r="T41" s="1" t="s">
        <v>130</v>
      </c>
      <c r="U41" s="10">
        <v>45918.0</v>
      </c>
    </row>
    <row r="42">
      <c r="A42" s="1" t="s">
        <v>58</v>
      </c>
      <c r="B42" s="1">
        <v>14.99</v>
      </c>
      <c r="C42" s="1" t="s">
        <v>134</v>
      </c>
      <c r="D42" s="10">
        <v>45918.0</v>
      </c>
      <c r="R42" s="1" t="s">
        <v>37</v>
      </c>
      <c r="S42" s="1">
        <v>5.0</v>
      </c>
      <c r="T42" s="1" t="s">
        <v>132</v>
      </c>
      <c r="U42" s="10">
        <v>45918.0</v>
      </c>
    </row>
    <row r="43">
      <c r="A43" s="1" t="s">
        <v>41</v>
      </c>
      <c r="B43" s="1">
        <v>10.99</v>
      </c>
      <c r="C43" s="1" t="s">
        <v>136</v>
      </c>
      <c r="D43" s="10">
        <v>45918.0</v>
      </c>
      <c r="R43" s="1" t="s">
        <v>58</v>
      </c>
      <c r="S43" s="1">
        <v>14.99</v>
      </c>
      <c r="T43" s="1" t="s">
        <v>134</v>
      </c>
      <c r="U43" s="10">
        <v>45918.0</v>
      </c>
    </row>
    <row r="44">
      <c r="A44" s="1" t="s">
        <v>37</v>
      </c>
      <c r="B44" s="1">
        <v>5.0</v>
      </c>
      <c r="C44" s="1" t="s">
        <v>138</v>
      </c>
      <c r="D44" s="10">
        <v>45917.0</v>
      </c>
      <c r="R44" s="1" t="s">
        <v>41</v>
      </c>
      <c r="S44" s="1">
        <v>10.99</v>
      </c>
      <c r="T44" s="1" t="s">
        <v>136</v>
      </c>
      <c r="U44" s="10">
        <v>45918.0</v>
      </c>
    </row>
    <row r="45">
      <c r="A45" s="1" t="s">
        <v>62</v>
      </c>
      <c r="B45" s="1">
        <v>94.0</v>
      </c>
      <c r="C45" s="1" t="s">
        <v>140</v>
      </c>
      <c r="D45" s="10">
        <v>45917.0</v>
      </c>
      <c r="R45" s="1" t="s">
        <v>37</v>
      </c>
      <c r="S45" s="1">
        <v>5.0</v>
      </c>
      <c r="T45" s="1" t="s">
        <v>138</v>
      </c>
      <c r="U45" s="10">
        <v>45917.0</v>
      </c>
    </row>
    <row r="46">
      <c r="A46" s="1" t="s">
        <v>37</v>
      </c>
      <c r="B46" s="1">
        <v>5.0</v>
      </c>
      <c r="C46" s="1" t="s">
        <v>141</v>
      </c>
      <c r="D46" s="10">
        <v>45917.0</v>
      </c>
      <c r="R46" s="1" t="s">
        <v>62</v>
      </c>
      <c r="S46" s="1">
        <v>94.0</v>
      </c>
      <c r="T46" s="1" t="s">
        <v>140</v>
      </c>
      <c r="U46" s="10">
        <v>45917.0</v>
      </c>
    </row>
    <row r="47">
      <c r="A47" s="1" t="s">
        <v>41</v>
      </c>
      <c r="B47" s="1">
        <v>10.99</v>
      </c>
      <c r="C47" s="1" t="s">
        <v>142</v>
      </c>
      <c r="D47" s="10">
        <v>45917.0</v>
      </c>
      <c r="R47" s="1" t="s">
        <v>37</v>
      </c>
      <c r="S47" s="1">
        <v>5.0</v>
      </c>
      <c r="T47" s="1" t="s">
        <v>141</v>
      </c>
      <c r="U47" s="10">
        <v>45917.0</v>
      </c>
    </row>
    <row r="48">
      <c r="A48" s="1" t="s">
        <v>36</v>
      </c>
      <c r="B48" s="1">
        <v>73.0</v>
      </c>
      <c r="C48" s="1" t="s">
        <v>143</v>
      </c>
      <c r="D48" s="10">
        <v>45916.0</v>
      </c>
      <c r="R48" s="1" t="s">
        <v>41</v>
      </c>
      <c r="S48" s="1">
        <v>10.99</v>
      </c>
      <c r="T48" s="1" t="s">
        <v>142</v>
      </c>
      <c r="U48" s="10">
        <v>45917.0</v>
      </c>
    </row>
    <row r="49">
      <c r="A49" s="1" t="s">
        <v>36</v>
      </c>
      <c r="B49" s="1">
        <v>5.5</v>
      </c>
      <c r="C49" s="1" t="s">
        <v>144</v>
      </c>
      <c r="D49" s="10">
        <v>45916.0</v>
      </c>
      <c r="R49" s="1" t="s">
        <v>36</v>
      </c>
      <c r="S49" s="1">
        <v>73.0</v>
      </c>
      <c r="T49" s="1" t="s">
        <v>143</v>
      </c>
      <c r="U49" s="10">
        <v>45916.0</v>
      </c>
    </row>
    <row r="50">
      <c r="A50" s="1" t="s">
        <v>58</v>
      </c>
      <c r="B50" s="1">
        <v>25.0</v>
      </c>
      <c r="C50" s="1" t="s">
        <v>145</v>
      </c>
      <c r="D50" s="10">
        <v>45915.0</v>
      </c>
      <c r="R50" s="1" t="s">
        <v>36</v>
      </c>
      <c r="S50" s="1">
        <v>5.5</v>
      </c>
      <c r="T50" s="1" t="s">
        <v>144</v>
      </c>
      <c r="U50" s="10">
        <v>45916.0</v>
      </c>
    </row>
    <row r="51">
      <c r="A51" s="1" t="s">
        <v>42</v>
      </c>
      <c r="B51" s="1">
        <v>41.0</v>
      </c>
      <c r="C51" s="1" t="s">
        <v>146</v>
      </c>
      <c r="D51" s="10">
        <v>45915.0</v>
      </c>
      <c r="R51" s="1" t="s">
        <v>58</v>
      </c>
      <c r="S51" s="1">
        <v>25.0</v>
      </c>
      <c r="T51" s="1" t="s">
        <v>145</v>
      </c>
      <c r="U51" s="10">
        <v>45915.0</v>
      </c>
    </row>
    <row r="52">
      <c r="A52" s="1" t="s">
        <v>47</v>
      </c>
      <c r="B52" s="1">
        <v>14.1</v>
      </c>
      <c r="C52" s="1" t="s">
        <v>147</v>
      </c>
      <c r="D52" s="10">
        <v>45915.0</v>
      </c>
      <c r="R52" s="1" t="s">
        <v>42</v>
      </c>
      <c r="S52" s="1">
        <v>41.0</v>
      </c>
      <c r="T52" s="1" t="s">
        <v>146</v>
      </c>
      <c r="U52" s="10">
        <v>45915.0</v>
      </c>
    </row>
    <row r="53">
      <c r="A53" s="1" t="s">
        <v>148</v>
      </c>
      <c r="B53" s="1">
        <v>43.98</v>
      </c>
      <c r="C53" s="1" t="s">
        <v>149</v>
      </c>
      <c r="D53" s="10">
        <v>45915.0</v>
      </c>
      <c r="R53" s="1" t="s">
        <v>47</v>
      </c>
      <c r="S53" s="1">
        <v>14.1</v>
      </c>
      <c r="T53" s="1" t="s">
        <v>147</v>
      </c>
      <c r="U53" s="10">
        <v>45915.0</v>
      </c>
    </row>
    <row r="54">
      <c r="A54" s="1" t="s">
        <v>47</v>
      </c>
      <c r="B54" s="1">
        <v>38.0</v>
      </c>
      <c r="C54" s="1" t="s">
        <v>150</v>
      </c>
      <c r="D54" s="10">
        <v>45915.0</v>
      </c>
      <c r="R54" s="1" t="s">
        <v>148</v>
      </c>
      <c r="S54" s="1">
        <v>43.98</v>
      </c>
      <c r="T54" s="1" t="s">
        <v>149</v>
      </c>
      <c r="U54" s="10">
        <v>45915.0</v>
      </c>
    </row>
    <row r="55">
      <c r="A55" s="1" t="s">
        <v>42</v>
      </c>
      <c r="B55" s="1">
        <v>220.99</v>
      </c>
      <c r="C55" s="1" t="s">
        <v>151</v>
      </c>
      <c r="D55" s="10">
        <v>45915.0</v>
      </c>
      <c r="R55" s="1" t="s">
        <v>47</v>
      </c>
      <c r="S55" s="1">
        <v>38.0</v>
      </c>
      <c r="T55" s="1" t="s">
        <v>150</v>
      </c>
      <c r="U55" s="10">
        <v>45915.0</v>
      </c>
    </row>
    <row r="56">
      <c r="A56" s="1" t="s">
        <v>47</v>
      </c>
      <c r="B56" s="1">
        <v>13.5</v>
      </c>
      <c r="C56" s="1" t="s">
        <v>152</v>
      </c>
      <c r="D56" s="10">
        <v>45915.0</v>
      </c>
      <c r="R56" s="1" t="s">
        <v>42</v>
      </c>
      <c r="S56" s="1">
        <v>220.99</v>
      </c>
      <c r="T56" s="1" t="s">
        <v>151</v>
      </c>
      <c r="U56" s="10">
        <v>45915.0</v>
      </c>
    </row>
    <row r="57">
      <c r="A57" s="1" t="s">
        <v>41</v>
      </c>
      <c r="B57" s="1">
        <v>13.98</v>
      </c>
      <c r="C57" s="1" t="s">
        <v>153</v>
      </c>
      <c r="D57" s="10">
        <v>45914.0</v>
      </c>
      <c r="R57" s="1" t="s">
        <v>47</v>
      </c>
      <c r="S57" s="1">
        <v>13.5</v>
      </c>
      <c r="T57" s="1" t="s">
        <v>152</v>
      </c>
      <c r="U57" s="10">
        <v>45915.0</v>
      </c>
    </row>
    <row r="58">
      <c r="A58" s="1" t="s">
        <v>41</v>
      </c>
      <c r="B58" s="1">
        <v>7.3</v>
      </c>
      <c r="C58" s="1" t="s">
        <v>154</v>
      </c>
      <c r="D58" s="10">
        <v>45914.0</v>
      </c>
      <c r="R58" s="1" t="s">
        <v>41</v>
      </c>
      <c r="S58" s="1">
        <v>13.98</v>
      </c>
      <c r="T58" s="1" t="s">
        <v>153</v>
      </c>
      <c r="U58" s="10">
        <v>45914.0</v>
      </c>
    </row>
    <row r="59">
      <c r="A59" s="1" t="s">
        <v>36</v>
      </c>
      <c r="B59" s="1">
        <v>32.95</v>
      </c>
      <c r="C59" s="1" t="s">
        <v>155</v>
      </c>
      <c r="D59" s="10">
        <v>45914.0</v>
      </c>
      <c r="R59" s="1" t="s">
        <v>41</v>
      </c>
      <c r="S59" s="1">
        <v>7.3</v>
      </c>
      <c r="T59" s="1" t="s">
        <v>154</v>
      </c>
      <c r="U59" s="10">
        <v>45914.0</v>
      </c>
    </row>
    <row r="60">
      <c r="A60" s="1" t="s">
        <v>50</v>
      </c>
      <c r="B60" s="1">
        <v>103.5</v>
      </c>
      <c r="C60" s="1" t="s">
        <v>156</v>
      </c>
      <c r="D60" s="10">
        <v>45914.0</v>
      </c>
      <c r="R60" s="1" t="s">
        <v>36</v>
      </c>
      <c r="S60" s="1">
        <v>32.95</v>
      </c>
      <c r="T60" s="1" t="s">
        <v>155</v>
      </c>
      <c r="U60" s="10">
        <v>45914.0</v>
      </c>
    </row>
    <row r="61">
      <c r="A61" s="1" t="s">
        <v>36</v>
      </c>
      <c r="B61" s="1">
        <v>4.5</v>
      </c>
      <c r="C61" s="1" t="s">
        <v>157</v>
      </c>
      <c r="D61" s="10">
        <v>45911.0</v>
      </c>
      <c r="R61" s="1" t="s">
        <v>50</v>
      </c>
      <c r="S61" s="1">
        <v>103.5</v>
      </c>
      <c r="T61" s="1" t="s">
        <v>156</v>
      </c>
      <c r="U61" s="10">
        <v>45914.0</v>
      </c>
    </row>
    <row r="62">
      <c r="A62" s="1" t="s">
        <v>47</v>
      </c>
      <c r="B62" s="1">
        <v>668.0</v>
      </c>
      <c r="C62" s="1" t="s">
        <v>158</v>
      </c>
      <c r="D62" s="10">
        <v>45910.0</v>
      </c>
      <c r="R62" s="1" t="s">
        <v>36</v>
      </c>
      <c r="S62" s="1">
        <v>4.5</v>
      </c>
      <c r="T62" s="1" t="s">
        <v>157</v>
      </c>
      <c r="U62" s="10">
        <v>45911.0</v>
      </c>
    </row>
    <row r="63">
      <c r="A63" s="1" t="s">
        <v>73</v>
      </c>
      <c r="B63" s="1">
        <v>250.0</v>
      </c>
      <c r="C63" s="1" t="s">
        <v>159</v>
      </c>
      <c r="D63" s="10">
        <v>45910.0</v>
      </c>
      <c r="R63" s="1" t="s">
        <v>47</v>
      </c>
      <c r="S63" s="1">
        <v>668.0</v>
      </c>
      <c r="T63" s="1" t="s">
        <v>158</v>
      </c>
      <c r="U63" s="10">
        <v>45910.0</v>
      </c>
    </row>
    <row r="64">
      <c r="A64" s="1" t="s">
        <v>47</v>
      </c>
      <c r="B64" s="1">
        <v>36.0</v>
      </c>
      <c r="C64" s="1" t="s">
        <v>160</v>
      </c>
      <c r="D64" s="10">
        <v>45909.0</v>
      </c>
      <c r="R64" s="1" t="s">
        <v>73</v>
      </c>
      <c r="S64" s="1">
        <v>250.0</v>
      </c>
      <c r="T64" s="1" t="s">
        <v>159</v>
      </c>
      <c r="U64" s="10">
        <v>45910.0</v>
      </c>
    </row>
    <row r="65">
      <c r="A65" s="1" t="s">
        <v>47</v>
      </c>
      <c r="B65" s="1">
        <v>36.0</v>
      </c>
      <c r="C65" s="1" t="s">
        <v>161</v>
      </c>
      <c r="D65" s="10">
        <v>45909.0</v>
      </c>
      <c r="R65" s="1" t="s">
        <v>47</v>
      </c>
      <c r="S65" s="1">
        <v>36.0</v>
      </c>
      <c r="T65" s="1" t="s">
        <v>160</v>
      </c>
      <c r="U65" s="10">
        <v>45909.0</v>
      </c>
    </row>
    <row r="66">
      <c r="A66" s="1" t="s">
        <v>58</v>
      </c>
      <c r="B66" s="1">
        <v>10.0</v>
      </c>
      <c r="C66" s="1" t="s">
        <v>162</v>
      </c>
      <c r="D66" s="10">
        <v>45908.0</v>
      </c>
      <c r="R66" s="1" t="s">
        <v>47</v>
      </c>
      <c r="S66" s="1">
        <v>36.0</v>
      </c>
      <c r="T66" s="1" t="s">
        <v>161</v>
      </c>
      <c r="U66" s="10">
        <v>45909.0</v>
      </c>
    </row>
    <row r="67">
      <c r="A67" s="1" t="s">
        <v>58</v>
      </c>
      <c r="B67" s="1">
        <v>10.0</v>
      </c>
      <c r="C67" s="1" t="s">
        <v>163</v>
      </c>
      <c r="D67" s="10">
        <v>45908.0</v>
      </c>
      <c r="R67" s="1" t="s">
        <v>58</v>
      </c>
      <c r="S67" s="1">
        <v>10.0</v>
      </c>
      <c r="T67" s="1" t="s">
        <v>162</v>
      </c>
      <c r="U67" s="10">
        <v>45908.0</v>
      </c>
    </row>
    <row r="68">
      <c r="A68" s="1" t="s">
        <v>50</v>
      </c>
      <c r="B68" s="1">
        <v>275.0</v>
      </c>
      <c r="C68" s="1" t="s">
        <v>164</v>
      </c>
      <c r="D68" s="10">
        <v>45908.0</v>
      </c>
      <c r="R68" s="1" t="s">
        <v>58</v>
      </c>
      <c r="S68" s="1">
        <v>10.0</v>
      </c>
      <c r="T68" s="1" t="s">
        <v>163</v>
      </c>
      <c r="U68" s="10">
        <v>45908.0</v>
      </c>
    </row>
    <row r="69">
      <c r="A69" s="1" t="s">
        <v>37</v>
      </c>
      <c r="B69" s="1">
        <v>5.0</v>
      </c>
      <c r="C69" s="1" t="s">
        <v>165</v>
      </c>
      <c r="D69" s="10">
        <v>45908.0</v>
      </c>
      <c r="R69" s="1" t="s">
        <v>50</v>
      </c>
      <c r="S69" s="1">
        <v>275.0</v>
      </c>
      <c r="T69" s="1" t="s">
        <v>164</v>
      </c>
      <c r="U69" s="10">
        <v>45908.0</v>
      </c>
    </row>
    <row r="70">
      <c r="A70" s="1" t="s">
        <v>37</v>
      </c>
      <c r="B70" s="1">
        <v>5.0</v>
      </c>
      <c r="C70" s="1" t="s">
        <v>166</v>
      </c>
      <c r="D70" s="10">
        <v>45908.0</v>
      </c>
      <c r="R70" s="1" t="s">
        <v>37</v>
      </c>
      <c r="S70" s="1">
        <v>5.0</v>
      </c>
      <c r="T70" s="1" t="s">
        <v>165</v>
      </c>
      <c r="U70" s="10">
        <v>45908.0</v>
      </c>
    </row>
    <row r="71">
      <c r="A71" s="1" t="s">
        <v>36</v>
      </c>
      <c r="B71" s="1">
        <v>51.99</v>
      </c>
      <c r="C71" s="1" t="s">
        <v>167</v>
      </c>
      <c r="D71" s="10">
        <v>45908.0</v>
      </c>
      <c r="R71" s="1" t="s">
        <v>37</v>
      </c>
      <c r="S71" s="1">
        <v>5.0</v>
      </c>
      <c r="T71" s="1" t="s">
        <v>166</v>
      </c>
      <c r="U71" s="10">
        <v>45908.0</v>
      </c>
    </row>
    <row r="72">
      <c r="A72" s="1" t="s">
        <v>56</v>
      </c>
      <c r="B72" s="1">
        <v>98.0</v>
      </c>
      <c r="C72" s="1" t="s">
        <v>168</v>
      </c>
      <c r="D72" s="10">
        <v>45907.0</v>
      </c>
      <c r="R72" s="1" t="s">
        <v>36</v>
      </c>
      <c r="S72" s="1">
        <v>51.99</v>
      </c>
      <c r="T72" s="1" t="s">
        <v>167</v>
      </c>
      <c r="U72" s="10">
        <v>45908.0</v>
      </c>
    </row>
    <row r="73">
      <c r="A73" s="1" t="s">
        <v>36</v>
      </c>
      <c r="B73" s="1">
        <v>88.39</v>
      </c>
      <c r="C73" s="1" t="s">
        <v>169</v>
      </c>
      <c r="D73" s="10">
        <v>45907.0</v>
      </c>
      <c r="R73" s="1" t="s">
        <v>56</v>
      </c>
      <c r="S73" s="1">
        <v>98.0</v>
      </c>
      <c r="T73" s="1" t="s">
        <v>168</v>
      </c>
      <c r="U73" s="10">
        <v>45907.0</v>
      </c>
    </row>
    <row r="74">
      <c r="A74" s="1" t="s">
        <v>41</v>
      </c>
      <c r="B74" s="1">
        <v>15.5</v>
      </c>
      <c r="C74" s="1" t="s">
        <v>170</v>
      </c>
      <c r="D74" s="10">
        <v>45907.0</v>
      </c>
      <c r="R74" s="1" t="s">
        <v>36</v>
      </c>
      <c r="S74" s="1">
        <v>88.39</v>
      </c>
      <c r="T74" s="1" t="s">
        <v>169</v>
      </c>
      <c r="U74" s="10">
        <v>45907.0</v>
      </c>
    </row>
    <row r="75">
      <c r="A75" s="1" t="s">
        <v>36</v>
      </c>
      <c r="B75" s="1">
        <v>33.97</v>
      </c>
      <c r="C75" s="1" t="s">
        <v>171</v>
      </c>
      <c r="D75" s="10">
        <v>45907.0</v>
      </c>
      <c r="R75" s="1" t="s">
        <v>41</v>
      </c>
      <c r="S75" s="1">
        <v>15.5</v>
      </c>
      <c r="T75" s="1" t="s">
        <v>170</v>
      </c>
      <c r="U75" s="10">
        <v>45907.0</v>
      </c>
    </row>
    <row r="76">
      <c r="A76" s="1" t="s">
        <v>51</v>
      </c>
      <c r="B76" s="1">
        <v>22.97</v>
      </c>
      <c r="C76" s="1" t="s">
        <v>172</v>
      </c>
      <c r="D76" s="10">
        <v>45906.0</v>
      </c>
      <c r="R76" s="1" t="s">
        <v>36</v>
      </c>
      <c r="S76" s="1">
        <v>33.97</v>
      </c>
      <c r="T76" s="1" t="s">
        <v>171</v>
      </c>
      <c r="U76" s="10">
        <v>45907.0</v>
      </c>
    </row>
    <row r="77">
      <c r="A77" s="1" t="s">
        <v>47</v>
      </c>
      <c r="B77" s="1">
        <v>36.0</v>
      </c>
      <c r="C77" s="1" t="s">
        <v>173</v>
      </c>
      <c r="D77" s="10">
        <v>45906.0</v>
      </c>
      <c r="R77" s="1" t="s">
        <v>51</v>
      </c>
      <c r="S77" s="1">
        <v>22.97</v>
      </c>
      <c r="T77" s="1" t="s">
        <v>172</v>
      </c>
      <c r="U77" s="10">
        <v>45906.0</v>
      </c>
    </row>
    <row r="78">
      <c r="A78" s="1" t="s">
        <v>51</v>
      </c>
      <c r="B78" s="1">
        <v>4.49</v>
      </c>
      <c r="C78" s="1" t="s">
        <v>174</v>
      </c>
      <c r="D78" s="10">
        <v>45906.0</v>
      </c>
      <c r="R78" s="1" t="s">
        <v>47</v>
      </c>
      <c r="S78" s="1">
        <v>36.0</v>
      </c>
      <c r="T78" s="1" t="s">
        <v>173</v>
      </c>
      <c r="U78" s="10">
        <v>45906.0</v>
      </c>
    </row>
    <row r="79">
      <c r="A79" s="1" t="s">
        <v>36</v>
      </c>
      <c r="B79" s="1">
        <v>90.0</v>
      </c>
      <c r="C79" s="1" t="s">
        <v>175</v>
      </c>
      <c r="D79" s="10">
        <v>45906.0</v>
      </c>
      <c r="R79" s="1" t="s">
        <v>51</v>
      </c>
      <c r="S79" s="1">
        <v>4.49</v>
      </c>
      <c r="T79" s="1" t="s">
        <v>174</v>
      </c>
      <c r="U79" s="10">
        <v>45906.0</v>
      </c>
    </row>
    <row r="80">
      <c r="A80" s="1" t="s">
        <v>41</v>
      </c>
      <c r="B80" s="1">
        <v>21.49</v>
      </c>
      <c r="C80" s="1" t="s">
        <v>176</v>
      </c>
      <c r="D80" s="10">
        <v>45906.0</v>
      </c>
      <c r="R80" s="1" t="s">
        <v>36</v>
      </c>
      <c r="S80" s="1">
        <v>90.0</v>
      </c>
      <c r="T80" s="1" t="s">
        <v>175</v>
      </c>
      <c r="U80" s="10">
        <v>45906.0</v>
      </c>
    </row>
    <row r="81">
      <c r="A81" s="1" t="s">
        <v>47</v>
      </c>
      <c r="B81" s="1">
        <v>36.0</v>
      </c>
      <c r="C81" s="1" t="s">
        <v>177</v>
      </c>
      <c r="D81" s="10">
        <v>45906.0</v>
      </c>
      <c r="R81" s="1" t="s">
        <v>41</v>
      </c>
      <c r="S81" s="1">
        <v>21.49</v>
      </c>
      <c r="T81" s="1" t="s">
        <v>176</v>
      </c>
      <c r="U81" s="10">
        <v>45906.0</v>
      </c>
    </row>
    <row r="82">
      <c r="A82" s="1" t="s">
        <v>58</v>
      </c>
      <c r="B82" s="1">
        <v>59.99</v>
      </c>
      <c r="C82" s="1" t="s">
        <v>178</v>
      </c>
      <c r="D82" s="10">
        <v>45905.0</v>
      </c>
      <c r="R82" s="1" t="s">
        <v>47</v>
      </c>
      <c r="S82" s="1">
        <v>36.0</v>
      </c>
      <c r="T82" s="1" t="s">
        <v>177</v>
      </c>
      <c r="U82" s="10">
        <v>45906.0</v>
      </c>
    </row>
    <row r="83">
      <c r="A83" s="1" t="s">
        <v>56</v>
      </c>
      <c r="B83" s="1">
        <v>24.0</v>
      </c>
      <c r="C83" s="1" t="s">
        <v>179</v>
      </c>
      <c r="D83" s="10">
        <v>45904.0</v>
      </c>
      <c r="R83" s="1" t="s">
        <v>58</v>
      </c>
      <c r="S83" s="1">
        <v>59.99</v>
      </c>
      <c r="T83" s="1" t="s">
        <v>178</v>
      </c>
      <c r="U83" s="10">
        <v>45905.0</v>
      </c>
    </row>
    <row r="84">
      <c r="A84" s="1" t="s">
        <v>73</v>
      </c>
      <c r="B84" s="1">
        <v>250.0</v>
      </c>
      <c r="C84" s="1" t="s">
        <v>180</v>
      </c>
      <c r="D84" s="10">
        <v>45903.0</v>
      </c>
      <c r="R84" s="1" t="s">
        <v>56</v>
      </c>
      <c r="S84" s="1">
        <v>24.0</v>
      </c>
      <c r="T84" s="1" t="s">
        <v>179</v>
      </c>
      <c r="U84" s="10">
        <v>45904.0</v>
      </c>
    </row>
    <row r="85">
      <c r="A85" s="1" t="s">
        <v>56</v>
      </c>
      <c r="B85" s="1">
        <v>35.24</v>
      </c>
      <c r="C85" s="1" t="s">
        <v>181</v>
      </c>
      <c r="D85" s="10">
        <v>45903.0</v>
      </c>
      <c r="R85" s="1" t="s">
        <v>73</v>
      </c>
      <c r="S85" s="1">
        <v>250.0</v>
      </c>
      <c r="T85" s="1" t="s">
        <v>180</v>
      </c>
      <c r="U85" s="10">
        <v>45903.0</v>
      </c>
    </row>
    <row r="86">
      <c r="A86" s="1" t="s">
        <v>56</v>
      </c>
      <c r="B86" s="1">
        <v>375.0</v>
      </c>
      <c r="C86" s="1" t="s">
        <v>182</v>
      </c>
      <c r="D86" s="10">
        <v>45903.0</v>
      </c>
      <c r="R86" s="1" t="s">
        <v>56</v>
      </c>
      <c r="S86" s="1">
        <v>35.24</v>
      </c>
      <c r="T86" s="1" t="s">
        <v>181</v>
      </c>
      <c r="U86" s="10">
        <v>45903.0</v>
      </c>
    </row>
    <row r="87">
      <c r="A87" s="1" t="s">
        <v>50</v>
      </c>
      <c r="B87" s="1">
        <v>1280.0</v>
      </c>
      <c r="C87" s="1" t="s">
        <v>123</v>
      </c>
      <c r="D87" s="10">
        <v>45903.0</v>
      </c>
      <c r="R87" s="1" t="s">
        <v>56</v>
      </c>
      <c r="S87" s="1">
        <v>375.0</v>
      </c>
      <c r="T87" s="1" t="s">
        <v>182</v>
      </c>
      <c r="U87" s="10">
        <v>45903.0</v>
      </c>
    </row>
    <row r="88">
      <c r="A88" s="1" t="s">
        <v>50</v>
      </c>
      <c r="B88" s="1">
        <v>363.0</v>
      </c>
      <c r="C88" s="1" t="s">
        <v>183</v>
      </c>
      <c r="D88" s="10">
        <v>45902.0</v>
      </c>
      <c r="R88" s="1" t="s">
        <v>50</v>
      </c>
      <c r="S88" s="1">
        <v>1280.0</v>
      </c>
      <c r="T88" s="1" t="s">
        <v>123</v>
      </c>
      <c r="U88" s="10">
        <v>45903.0</v>
      </c>
    </row>
    <row r="89">
      <c r="A89" s="1" t="s">
        <v>47</v>
      </c>
      <c r="B89" s="1">
        <v>9.45</v>
      </c>
      <c r="C89" s="1" t="s">
        <v>184</v>
      </c>
      <c r="D89" s="10">
        <v>45902.0</v>
      </c>
      <c r="R89" s="1" t="s">
        <v>50</v>
      </c>
      <c r="S89" s="1">
        <v>363.0</v>
      </c>
      <c r="T89" s="1" t="s">
        <v>183</v>
      </c>
      <c r="U89" s="10">
        <v>45902.0</v>
      </c>
    </row>
    <row r="90">
      <c r="A90" s="1" t="s">
        <v>62</v>
      </c>
      <c r="B90" s="1">
        <v>99.58</v>
      </c>
      <c r="C90" s="1" t="s">
        <v>185</v>
      </c>
      <c r="D90" s="10">
        <v>45902.0</v>
      </c>
      <c r="R90" s="1" t="s">
        <v>47</v>
      </c>
      <c r="S90" s="1">
        <v>9.45</v>
      </c>
      <c r="T90" s="1" t="s">
        <v>184</v>
      </c>
      <c r="U90" s="10">
        <v>45902.0</v>
      </c>
    </row>
    <row r="91">
      <c r="A91" s="1" t="s">
        <v>37</v>
      </c>
      <c r="B91" s="1">
        <v>5.0</v>
      </c>
      <c r="C91" s="1" t="s">
        <v>186</v>
      </c>
      <c r="D91" s="10">
        <v>45901.0</v>
      </c>
      <c r="R91" s="1" t="s">
        <v>62</v>
      </c>
      <c r="S91" s="1">
        <v>99.58</v>
      </c>
      <c r="T91" s="1" t="s">
        <v>185</v>
      </c>
      <c r="U91" s="10">
        <v>45902.0</v>
      </c>
    </row>
    <row r="92">
      <c r="A92" s="1" t="s">
        <v>37</v>
      </c>
      <c r="B92" s="1">
        <v>30.0</v>
      </c>
      <c r="C92" s="1" t="s">
        <v>187</v>
      </c>
      <c r="D92" s="10">
        <v>45901.0</v>
      </c>
      <c r="R92" s="1" t="s">
        <v>37</v>
      </c>
      <c r="S92" s="1">
        <v>5.0</v>
      </c>
      <c r="T92" s="1" t="s">
        <v>186</v>
      </c>
      <c r="U92" s="10">
        <v>45901.0</v>
      </c>
    </row>
    <row r="93">
      <c r="A93" s="1" t="s">
        <v>41</v>
      </c>
      <c r="B93" s="1">
        <v>10.99</v>
      </c>
      <c r="C93" s="1" t="s">
        <v>188</v>
      </c>
      <c r="D93" s="10">
        <v>45901.0</v>
      </c>
      <c r="R93" s="1" t="s">
        <v>37</v>
      </c>
      <c r="S93" s="1">
        <v>30.0</v>
      </c>
      <c r="T93" s="1" t="s">
        <v>187</v>
      </c>
      <c r="U93" s="10">
        <v>45901.0</v>
      </c>
    </row>
    <row r="94">
      <c r="A94" s="1" t="s">
        <v>42</v>
      </c>
      <c r="B94" s="1">
        <v>159.0</v>
      </c>
      <c r="C94" s="1" t="s">
        <v>189</v>
      </c>
      <c r="D94" s="10">
        <v>45901.0</v>
      </c>
      <c r="R94" s="1" t="s">
        <v>41</v>
      </c>
      <c r="S94" s="1">
        <v>10.99</v>
      </c>
      <c r="T94" s="1" t="s">
        <v>188</v>
      </c>
      <c r="U94" s="10">
        <v>45901.0</v>
      </c>
    </row>
    <row r="95">
      <c r="A95" s="1" t="s">
        <v>47</v>
      </c>
      <c r="B95" s="1">
        <v>18.59</v>
      </c>
      <c r="C95" s="1" t="s">
        <v>190</v>
      </c>
      <c r="D95" s="10">
        <v>45901.0</v>
      </c>
      <c r="R95" s="1" t="s">
        <v>42</v>
      </c>
      <c r="S95" s="1">
        <v>159.0</v>
      </c>
      <c r="T95" s="1" t="s">
        <v>189</v>
      </c>
      <c r="U95" s="10">
        <v>45901.0</v>
      </c>
    </row>
    <row r="96">
      <c r="A96" s="1" t="s">
        <v>51</v>
      </c>
      <c r="B96" s="1">
        <v>20.0</v>
      </c>
      <c r="C96" s="1" t="s">
        <v>191</v>
      </c>
      <c r="D96" s="10">
        <v>45901.0</v>
      </c>
      <c r="R96" s="1" t="s">
        <v>47</v>
      </c>
      <c r="S96" s="1">
        <v>18.59</v>
      </c>
      <c r="T96" s="1" t="s">
        <v>190</v>
      </c>
      <c r="U96" s="10">
        <v>45901.0</v>
      </c>
    </row>
    <row r="97">
      <c r="A97" s="1" t="s">
        <v>42</v>
      </c>
      <c r="B97" s="1">
        <v>204.0</v>
      </c>
      <c r="C97" s="1" t="s">
        <v>192</v>
      </c>
      <c r="D97" s="10">
        <v>45901.0</v>
      </c>
      <c r="R97" s="1" t="s">
        <v>51</v>
      </c>
      <c r="S97" s="1">
        <v>20.0</v>
      </c>
      <c r="T97" s="1" t="s">
        <v>191</v>
      </c>
      <c r="U97" s="10">
        <v>45901.0</v>
      </c>
    </row>
    <row r="98">
      <c r="A98" s="1" t="s">
        <v>56</v>
      </c>
      <c r="B98" s="1">
        <v>1592.0</v>
      </c>
      <c r="C98" s="1" t="s">
        <v>193</v>
      </c>
      <c r="D98" s="10">
        <v>45929.0</v>
      </c>
      <c r="R98" s="1" t="s">
        <v>42</v>
      </c>
      <c r="S98" s="1">
        <v>204.0</v>
      </c>
      <c r="T98" s="1" t="s">
        <v>192</v>
      </c>
      <c r="U98" s="10">
        <v>45901.0</v>
      </c>
    </row>
    <row r="99">
      <c r="A99" s="1" t="s">
        <v>58</v>
      </c>
      <c r="B99" s="1">
        <v>229.58</v>
      </c>
      <c r="C99" s="1" t="s">
        <v>194</v>
      </c>
      <c r="D99" s="10">
        <v>45929.0</v>
      </c>
      <c r="R99" s="1" t="s">
        <v>56</v>
      </c>
      <c r="S99" s="1">
        <v>1592.0</v>
      </c>
      <c r="T99" s="1" t="s">
        <v>193</v>
      </c>
      <c r="U99" s="10">
        <v>45929.0</v>
      </c>
    </row>
    <row r="100">
      <c r="A100" s="1" t="s">
        <v>58</v>
      </c>
      <c r="B100" s="1">
        <v>360.0</v>
      </c>
      <c r="C100" s="1" t="s">
        <v>195</v>
      </c>
      <c r="D100" s="10">
        <v>45926.0</v>
      </c>
      <c r="R100" s="1" t="s">
        <v>58</v>
      </c>
      <c r="S100" s="1">
        <v>229.58</v>
      </c>
      <c r="T100" s="1" t="s">
        <v>194</v>
      </c>
      <c r="U100" s="10">
        <v>45929.0</v>
      </c>
    </row>
    <row r="101">
      <c r="A101" s="1" t="s">
        <v>58</v>
      </c>
      <c r="B101" s="1">
        <v>381.87</v>
      </c>
      <c r="C101" s="1" t="s">
        <v>196</v>
      </c>
      <c r="D101" s="10">
        <v>45926.0</v>
      </c>
      <c r="R101" s="1" t="s">
        <v>58</v>
      </c>
      <c r="S101" s="1">
        <v>360.0</v>
      </c>
      <c r="T101" s="1" t="s">
        <v>195</v>
      </c>
      <c r="U101" s="10">
        <v>45926.0</v>
      </c>
    </row>
    <row r="102">
      <c r="A102" s="1" t="s">
        <v>51</v>
      </c>
      <c r="B102" s="1">
        <v>209.28</v>
      </c>
      <c r="C102" s="1" t="s">
        <v>197</v>
      </c>
      <c r="D102" s="10">
        <v>45922.0</v>
      </c>
      <c r="R102" s="1" t="s">
        <v>58</v>
      </c>
      <c r="S102" s="1">
        <v>381.87</v>
      </c>
      <c r="T102" s="1" t="s">
        <v>196</v>
      </c>
      <c r="U102" s="10">
        <v>45926.0</v>
      </c>
    </row>
    <row r="103">
      <c r="A103" s="1" t="s">
        <v>51</v>
      </c>
      <c r="B103" s="1">
        <v>152.27</v>
      </c>
      <c r="C103" s="1" t="s">
        <v>198</v>
      </c>
      <c r="D103" s="10">
        <v>45920.0</v>
      </c>
      <c r="R103" s="1" t="s">
        <v>51</v>
      </c>
      <c r="S103" s="1">
        <v>209.28</v>
      </c>
      <c r="T103" s="1" t="s">
        <v>197</v>
      </c>
      <c r="U103" s="10">
        <v>45922.0</v>
      </c>
    </row>
    <row r="104">
      <c r="A104" s="1" t="s">
        <v>47</v>
      </c>
      <c r="B104" s="1">
        <v>260.0</v>
      </c>
      <c r="C104" s="1" t="s">
        <v>199</v>
      </c>
      <c r="D104" s="10">
        <v>45917.0</v>
      </c>
      <c r="R104" s="1" t="s">
        <v>51</v>
      </c>
      <c r="S104" s="1">
        <v>152.27</v>
      </c>
      <c r="T104" s="1" t="s">
        <v>198</v>
      </c>
      <c r="U104" s="10">
        <v>45920.0</v>
      </c>
    </row>
    <row r="105">
      <c r="A105" s="1" t="s">
        <v>56</v>
      </c>
      <c r="B105" s="1">
        <v>1099.0</v>
      </c>
      <c r="C105" s="1" t="s">
        <v>200</v>
      </c>
      <c r="D105" s="10">
        <v>45915.0</v>
      </c>
      <c r="R105" s="1" t="s">
        <v>47</v>
      </c>
      <c r="S105" s="1">
        <v>260.0</v>
      </c>
      <c r="T105" s="1" t="s">
        <v>199</v>
      </c>
      <c r="U105" s="10">
        <v>45917.0</v>
      </c>
    </row>
    <row r="106">
      <c r="A106" s="1" t="s">
        <v>201</v>
      </c>
      <c r="B106" s="1">
        <v>3213.25</v>
      </c>
      <c r="C106" s="1" t="s">
        <v>202</v>
      </c>
      <c r="D106" s="10">
        <v>45915.0</v>
      </c>
      <c r="R106" s="1" t="s">
        <v>56</v>
      </c>
      <c r="S106" s="1">
        <v>1099.0</v>
      </c>
      <c r="T106" s="1" t="s">
        <v>200</v>
      </c>
      <c r="U106" s="10">
        <v>45915.0</v>
      </c>
    </row>
    <row r="107">
      <c r="A107" s="1" t="s">
        <v>40</v>
      </c>
      <c r="B107" s="1">
        <v>12.0</v>
      </c>
      <c r="C107" s="1" t="s">
        <v>203</v>
      </c>
      <c r="D107" s="10">
        <v>45915.0</v>
      </c>
      <c r="R107" s="1" t="s">
        <v>201</v>
      </c>
      <c r="S107" s="1">
        <v>3213.25</v>
      </c>
      <c r="T107" s="1" t="s">
        <v>202</v>
      </c>
      <c r="U107" s="10">
        <v>45915.0</v>
      </c>
    </row>
    <row r="108">
      <c r="A108" s="1" t="s">
        <v>40</v>
      </c>
      <c r="B108" s="1">
        <v>3268.0</v>
      </c>
      <c r="C108" s="1" t="s">
        <v>204</v>
      </c>
      <c r="D108" s="10">
        <v>45915.0</v>
      </c>
      <c r="R108" s="1" t="s">
        <v>40</v>
      </c>
      <c r="S108" s="1">
        <v>12.0</v>
      </c>
      <c r="T108" s="1" t="s">
        <v>203</v>
      </c>
      <c r="U108" s="10">
        <v>45915.0</v>
      </c>
    </row>
    <row r="109">
      <c r="A109" s="1" t="s">
        <v>46</v>
      </c>
      <c r="B109" s="1">
        <v>5619.0</v>
      </c>
      <c r="C109" s="1" t="s">
        <v>205</v>
      </c>
      <c r="D109" s="10">
        <v>45915.0</v>
      </c>
      <c r="R109" s="1" t="s">
        <v>40</v>
      </c>
      <c r="S109" s="1">
        <v>3268.0</v>
      </c>
      <c r="T109" s="1" t="s">
        <v>204</v>
      </c>
      <c r="U109" s="10">
        <v>45915.0</v>
      </c>
    </row>
    <row r="110">
      <c r="A110" s="1" t="s">
        <v>51</v>
      </c>
      <c r="B110" s="1">
        <v>224.51</v>
      </c>
      <c r="C110" s="1" t="s">
        <v>206</v>
      </c>
      <c r="D110" s="10">
        <v>45907.0</v>
      </c>
      <c r="R110" s="1" t="s">
        <v>46</v>
      </c>
      <c r="S110" s="1">
        <v>5619.0</v>
      </c>
      <c r="T110" s="1" t="s">
        <v>205</v>
      </c>
      <c r="U110" s="10">
        <v>45915.0</v>
      </c>
    </row>
    <row r="111">
      <c r="A111" s="1" t="s">
        <v>51</v>
      </c>
      <c r="B111" s="1">
        <v>264.39</v>
      </c>
      <c r="C111" s="1" t="s">
        <v>207</v>
      </c>
      <c r="D111" s="10">
        <v>45904.0</v>
      </c>
      <c r="R111" s="1" t="s">
        <v>51</v>
      </c>
      <c r="S111" s="1">
        <v>224.51</v>
      </c>
      <c r="T111" s="1" t="s">
        <v>206</v>
      </c>
      <c r="U111" s="10">
        <v>45907.0</v>
      </c>
    </row>
    <row r="112">
      <c r="A112" s="1" t="s">
        <v>47</v>
      </c>
      <c r="B112" s="1">
        <v>2252.71</v>
      </c>
      <c r="C112" s="1" t="s">
        <v>208</v>
      </c>
      <c r="D112" s="10">
        <v>45904.0</v>
      </c>
      <c r="R112" s="1" t="s">
        <v>51</v>
      </c>
      <c r="S112" s="1">
        <v>264.39</v>
      </c>
      <c r="T112" s="1" t="s">
        <v>207</v>
      </c>
      <c r="U112" s="10">
        <v>45904.0</v>
      </c>
    </row>
    <row r="113">
      <c r="A113" s="1" t="s">
        <v>58</v>
      </c>
      <c r="B113" s="1">
        <v>82.29</v>
      </c>
      <c r="C113" s="1" t="s">
        <v>209</v>
      </c>
      <c r="D113" s="10">
        <v>45904.0</v>
      </c>
      <c r="R113" s="1" t="s">
        <v>47</v>
      </c>
      <c r="S113" s="1">
        <v>2252.71</v>
      </c>
      <c r="T113" s="1" t="s">
        <v>208</v>
      </c>
      <c r="U113" s="10">
        <v>45904.0</v>
      </c>
    </row>
    <row r="114">
      <c r="A114" s="1" t="s">
        <v>58</v>
      </c>
      <c r="B114" s="1">
        <v>247.1</v>
      </c>
      <c r="C114" s="1" t="s">
        <v>210</v>
      </c>
      <c r="D114" s="10">
        <v>45904.0</v>
      </c>
      <c r="R114" s="1" t="s">
        <v>58</v>
      </c>
      <c r="S114" s="1">
        <v>82.29</v>
      </c>
      <c r="T114" s="1" t="s">
        <v>209</v>
      </c>
      <c r="U114" s="10">
        <v>45904.0</v>
      </c>
    </row>
    <row r="115">
      <c r="R115" s="1" t="s">
        <v>58</v>
      </c>
      <c r="S115" s="1">
        <v>247.1</v>
      </c>
      <c r="T115" s="1" t="s">
        <v>210</v>
      </c>
      <c r="U115" s="10">
        <v>45904.0</v>
      </c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14">
        <sortState ref="A2:D114">
          <sortCondition ref="D2:D114"/>
          <sortCondition ref="B2:B114"/>
        </sortState>
      </autoFilter>
    </customSheetView>
  </customSheetViews>
  <mergeCells count="2">
    <mergeCell ref="A1:B1"/>
    <mergeCell ref="E1:F1"/>
  </mergeCell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0.7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15100.75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E3" s="1" t="s">
        <v>34</v>
      </c>
      <c r="F3" s="8">
        <v>29999.0</v>
      </c>
      <c r="H3" s="2">
        <f>Zbiorczy!D62</f>
        <v>158908.08</v>
      </c>
      <c r="J3" s="3">
        <f t="shared" ref="J3:J7" si="1">SUMIF($A$3:A$197, K3, B$3:B$197)</f>
        <v>3213.25</v>
      </c>
      <c r="K3" s="1" t="s">
        <v>35</v>
      </c>
      <c r="M3" s="3">
        <f t="shared" ref="M3:M9" si="2">SUMIF($A$3:A$197, N3, B$3:B$197)</f>
        <v>278.61</v>
      </c>
      <c r="N3" s="1" t="s">
        <v>36</v>
      </c>
    </row>
    <row r="4">
      <c r="A4" s="1" t="s">
        <v>47</v>
      </c>
      <c r="B4" s="1">
        <v>17.6</v>
      </c>
      <c r="C4" s="1" t="s">
        <v>211</v>
      </c>
      <c r="D4" s="10">
        <v>45900.0</v>
      </c>
      <c r="E4" s="1" t="s">
        <v>39</v>
      </c>
      <c r="F4" s="1">
        <v>468.0</v>
      </c>
      <c r="J4" s="3">
        <f t="shared" si="1"/>
        <v>3185</v>
      </c>
      <c r="K4" s="1" t="s">
        <v>40</v>
      </c>
      <c r="M4" s="3">
        <f t="shared" si="2"/>
        <v>67.64</v>
      </c>
      <c r="N4" s="1" t="s">
        <v>41</v>
      </c>
    </row>
    <row r="5">
      <c r="A5" s="1" t="s">
        <v>62</v>
      </c>
      <c r="B5" s="1">
        <v>33.3</v>
      </c>
      <c r="C5" s="1" t="s">
        <v>212</v>
      </c>
      <c r="D5" s="10">
        <v>45900.0</v>
      </c>
      <c r="E5" s="1" t="s">
        <v>45</v>
      </c>
      <c r="J5" s="3">
        <f t="shared" si="1"/>
        <v>5176</v>
      </c>
      <c r="K5" s="1" t="s">
        <v>46</v>
      </c>
      <c r="M5" s="3">
        <f t="shared" si="2"/>
        <v>3091.23</v>
      </c>
      <c r="N5" s="1" t="s">
        <v>47</v>
      </c>
    </row>
    <row r="6">
      <c r="A6" s="1" t="s">
        <v>36</v>
      </c>
      <c r="B6" s="1">
        <v>4.5</v>
      </c>
      <c r="C6" s="1" t="s">
        <v>213</v>
      </c>
      <c r="D6" s="10">
        <v>45899.0</v>
      </c>
      <c r="J6" s="3">
        <f t="shared" si="1"/>
        <v>3526.5</v>
      </c>
      <c r="K6" s="1" t="s">
        <v>50</v>
      </c>
      <c r="M6" s="3">
        <f t="shared" si="2"/>
        <v>1187.08</v>
      </c>
      <c r="N6" s="1" t="s">
        <v>51</v>
      </c>
    </row>
    <row r="7">
      <c r="A7" s="1" t="s">
        <v>51</v>
      </c>
      <c r="B7" s="1">
        <v>17.6</v>
      </c>
      <c r="C7" s="1" t="s">
        <v>214</v>
      </c>
      <c r="D7" s="10">
        <v>45898.0</v>
      </c>
      <c r="J7" s="3">
        <f t="shared" si="1"/>
        <v>0</v>
      </c>
      <c r="K7" s="1" t="s">
        <v>55</v>
      </c>
      <c r="M7" s="3">
        <f t="shared" si="2"/>
        <v>4324.52</v>
      </c>
      <c r="N7" s="1" t="s">
        <v>56</v>
      </c>
    </row>
    <row r="8">
      <c r="A8" s="1" t="s">
        <v>50</v>
      </c>
      <c r="B8" s="1">
        <v>1330.0</v>
      </c>
      <c r="C8" s="1" t="s">
        <v>215</v>
      </c>
      <c r="D8" s="10">
        <v>45898.0</v>
      </c>
      <c r="M8" s="3">
        <f t="shared" si="2"/>
        <v>3091.23</v>
      </c>
      <c r="N8" s="1" t="s">
        <v>47</v>
      </c>
    </row>
    <row r="9">
      <c r="A9" s="1" t="s">
        <v>41</v>
      </c>
      <c r="B9" s="1">
        <v>2.99</v>
      </c>
      <c r="C9" s="1" t="s">
        <v>216</v>
      </c>
      <c r="D9" s="10">
        <v>45897.0</v>
      </c>
      <c r="M9" s="3">
        <f t="shared" si="2"/>
        <v>55.3</v>
      </c>
      <c r="N9" s="1" t="s">
        <v>62</v>
      </c>
    </row>
    <row r="10">
      <c r="A10" s="1" t="s">
        <v>36</v>
      </c>
      <c r="B10" s="1">
        <v>43.93</v>
      </c>
      <c r="C10" s="1" t="s">
        <v>217</v>
      </c>
      <c r="D10" s="10">
        <v>45897.0</v>
      </c>
    </row>
    <row r="11">
      <c r="A11" s="1" t="s">
        <v>148</v>
      </c>
      <c r="B11" s="1">
        <v>25.49</v>
      </c>
      <c r="C11" s="1" t="s">
        <v>218</v>
      </c>
      <c r="D11" s="10">
        <v>45896.0</v>
      </c>
    </row>
    <row r="12">
      <c r="A12" s="1" t="s">
        <v>73</v>
      </c>
      <c r="B12" s="1">
        <v>250.0</v>
      </c>
      <c r="C12" s="1" t="s">
        <v>219</v>
      </c>
      <c r="D12" s="10">
        <v>45896.0</v>
      </c>
    </row>
    <row r="13">
      <c r="A13" s="1" t="s">
        <v>50</v>
      </c>
      <c r="B13" s="1">
        <v>450.0</v>
      </c>
      <c r="C13" s="1" t="s">
        <v>220</v>
      </c>
      <c r="D13" s="10">
        <v>45895.0</v>
      </c>
    </row>
    <row r="14">
      <c r="A14" s="1" t="s">
        <v>41</v>
      </c>
      <c r="B14" s="1">
        <v>19.98</v>
      </c>
      <c r="C14" s="1" t="s">
        <v>221</v>
      </c>
      <c r="D14" s="10">
        <v>45895.0</v>
      </c>
    </row>
    <row r="15">
      <c r="A15" s="1" t="s">
        <v>51</v>
      </c>
      <c r="B15" s="1">
        <v>12.0</v>
      </c>
      <c r="C15" s="1" t="s">
        <v>223</v>
      </c>
      <c r="D15" s="10">
        <v>45895.0</v>
      </c>
    </row>
    <row r="16">
      <c r="A16" s="1" t="s">
        <v>224</v>
      </c>
      <c r="B16" s="1">
        <v>257.0</v>
      </c>
      <c r="C16" s="1" t="s">
        <v>225</v>
      </c>
      <c r="D16" s="10">
        <v>45895.0</v>
      </c>
    </row>
    <row r="17">
      <c r="A17" s="1" t="s">
        <v>37</v>
      </c>
      <c r="B17" s="1">
        <v>4.0</v>
      </c>
      <c r="C17" s="1" t="s">
        <v>226</v>
      </c>
      <c r="D17" s="10">
        <v>45894.0</v>
      </c>
    </row>
    <row r="18">
      <c r="A18" s="1" t="s">
        <v>37</v>
      </c>
      <c r="B18" s="1">
        <v>4.0</v>
      </c>
      <c r="C18" s="1" t="s">
        <v>227</v>
      </c>
      <c r="D18" s="10">
        <v>45894.0</v>
      </c>
    </row>
    <row r="19">
      <c r="A19" s="1" t="s">
        <v>56</v>
      </c>
      <c r="B19" s="1">
        <v>38.0</v>
      </c>
      <c r="C19" s="1" t="s">
        <v>228</v>
      </c>
      <c r="D19" s="10">
        <v>45894.0</v>
      </c>
    </row>
    <row r="20">
      <c r="A20" s="1" t="s">
        <v>40</v>
      </c>
      <c r="B20" s="1">
        <v>5.0</v>
      </c>
      <c r="C20" s="1" t="s">
        <v>229</v>
      </c>
      <c r="D20" s="10">
        <v>45894.0</v>
      </c>
    </row>
    <row r="21">
      <c r="A21" s="1" t="s">
        <v>40</v>
      </c>
      <c r="B21" s="1">
        <v>5.0</v>
      </c>
      <c r="C21" s="1" t="s">
        <v>230</v>
      </c>
      <c r="D21" s="10">
        <v>45894.0</v>
      </c>
      <c r="E21" s="11"/>
      <c r="F21" s="11"/>
      <c r="G21" s="11"/>
    </row>
    <row r="22">
      <c r="A22" s="1" t="s">
        <v>40</v>
      </c>
      <c r="B22" s="1">
        <v>5.0</v>
      </c>
      <c r="C22" s="1" t="s">
        <v>231</v>
      </c>
      <c r="D22" s="10">
        <v>45894.0</v>
      </c>
    </row>
    <row r="23">
      <c r="A23" s="1" t="s">
        <v>40</v>
      </c>
      <c r="B23" s="1">
        <v>5.0</v>
      </c>
      <c r="C23" s="1" t="s">
        <v>232</v>
      </c>
      <c r="D23" s="10">
        <v>45894.0</v>
      </c>
    </row>
    <row r="24">
      <c r="A24" s="1" t="s">
        <v>56</v>
      </c>
      <c r="B24" s="1">
        <v>32.0</v>
      </c>
      <c r="C24" s="1" t="s">
        <v>233</v>
      </c>
      <c r="D24" s="10">
        <v>45893.0</v>
      </c>
    </row>
    <row r="25">
      <c r="A25" s="1" t="s">
        <v>47</v>
      </c>
      <c r="B25" s="1">
        <v>2.5</v>
      </c>
      <c r="C25" s="1" t="s">
        <v>234</v>
      </c>
      <c r="D25" s="10">
        <v>45893.0</v>
      </c>
    </row>
    <row r="26">
      <c r="A26" s="1" t="s">
        <v>56</v>
      </c>
      <c r="B26" s="1">
        <v>50.0</v>
      </c>
      <c r="C26" s="1" t="s">
        <v>235</v>
      </c>
      <c r="D26" s="10">
        <v>45893.0</v>
      </c>
    </row>
    <row r="27">
      <c r="A27" s="1" t="s">
        <v>56</v>
      </c>
      <c r="B27" s="1">
        <v>24.0</v>
      </c>
      <c r="C27" s="1" t="s">
        <v>236</v>
      </c>
      <c r="D27" s="10">
        <v>45893.0</v>
      </c>
    </row>
    <row r="28">
      <c r="A28" s="1" t="s">
        <v>41</v>
      </c>
      <c r="B28" s="1">
        <v>9.99</v>
      </c>
      <c r="C28" s="1" t="s">
        <v>237</v>
      </c>
      <c r="D28" s="10">
        <v>45892.0</v>
      </c>
    </row>
    <row r="29">
      <c r="A29" s="1" t="s">
        <v>36</v>
      </c>
      <c r="B29" s="1">
        <v>123.96</v>
      </c>
      <c r="C29" s="1" t="s">
        <v>238</v>
      </c>
      <c r="D29" s="10">
        <v>45892.0</v>
      </c>
    </row>
    <row r="30">
      <c r="A30" s="1" t="s">
        <v>56</v>
      </c>
      <c r="B30" s="1">
        <v>32.78</v>
      </c>
      <c r="C30" s="1" t="s">
        <v>239</v>
      </c>
      <c r="D30" s="10">
        <v>45892.0</v>
      </c>
    </row>
    <row r="31">
      <c r="A31" s="1" t="s">
        <v>56</v>
      </c>
      <c r="B31" s="1">
        <v>49.0</v>
      </c>
      <c r="C31" s="1" t="s">
        <v>240</v>
      </c>
      <c r="D31" s="10">
        <v>45892.0</v>
      </c>
    </row>
    <row r="32">
      <c r="A32" s="1" t="s">
        <v>73</v>
      </c>
      <c r="B32" s="1">
        <v>250.0</v>
      </c>
      <c r="C32" s="1" t="s">
        <v>241</v>
      </c>
      <c r="D32" s="10">
        <v>45889.0</v>
      </c>
    </row>
    <row r="33">
      <c r="A33" s="1" t="s">
        <v>148</v>
      </c>
      <c r="B33" s="1">
        <v>326.27</v>
      </c>
      <c r="C33" s="1" t="s">
        <v>242</v>
      </c>
      <c r="D33" s="10">
        <v>45889.0</v>
      </c>
    </row>
    <row r="34">
      <c r="A34" s="1" t="s">
        <v>56</v>
      </c>
      <c r="B34" s="1">
        <v>293.0</v>
      </c>
      <c r="C34" s="1" t="s">
        <v>243</v>
      </c>
      <c r="D34" s="10">
        <v>45888.0</v>
      </c>
    </row>
    <row r="35">
      <c r="A35" s="1" t="s">
        <v>37</v>
      </c>
      <c r="B35" s="1">
        <v>4.0</v>
      </c>
      <c r="C35" s="1" t="s">
        <v>244</v>
      </c>
      <c r="D35" s="10">
        <v>45887.0</v>
      </c>
    </row>
    <row r="36">
      <c r="A36" s="1" t="s">
        <v>37</v>
      </c>
      <c r="B36" s="1">
        <v>4.0</v>
      </c>
      <c r="C36" s="1" t="s">
        <v>245</v>
      </c>
      <c r="D36" s="10">
        <v>45887.0</v>
      </c>
    </row>
    <row r="37">
      <c r="A37" s="1" t="s">
        <v>41</v>
      </c>
      <c r="B37" s="1">
        <v>10.99</v>
      </c>
      <c r="C37" s="1" t="s">
        <v>246</v>
      </c>
      <c r="D37" s="10">
        <v>45887.0</v>
      </c>
    </row>
    <row r="38">
      <c r="A38" s="1" t="s">
        <v>58</v>
      </c>
      <c r="B38" s="1">
        <v>14.99</v>
      </c>
      <c r="C38" s="1" t="s">
        <v>247</v>
      </c>
      <c r="D38" s="10">
        <v>45887.0</v>
      </c>
    </row>
    <row r="39">
      <c r="A39" s="1" t="s">
        <v>47</v>
      </c>
      <c r="B39" s="1">
        <v>44.0</v>
      </c>
      <c r="C39" s="1" t="s">
        <v>248</v>
      </c>
      <c r="D39" s="10">
        <v>45886.0</v>
      </c>
    </row>
    <row r="40">
      <c r="A40" s="1" t="s">
        <v>56</v>
      </c>
      <c r="B40" s="1">
        <v>111.0</v>
      </c>
      <c r="C40" s="1" t="s">
        <v>249</v>
      </c>
      <c r="D40" s="10">
        <v>45886.0</v>
      </c>
    </row>
    <row r="41">
      <c r="A41" s="1" t="s">
        <v>47</v>
      </c>
      <c r="B41" s="1">
        <v>1.0</v>
      </c>
      <c r="C41" s="1" t="s">
        <v>250</v>
      </c>
      <c r="D41" s="10">
        <v>45886.0</v>
      </c>
    </row>
    <row r="42">
      <c r="A42" s="1" t="s">
        <v>56</v>
      </c>
      <c r="B42" s="1">
        <v>132.78</v>
      </c>
      <c r="C42" s="1" t="s">
        <v>251</v>
      </c>
      <c r="D42" s="10">
        <v>45884.0</v>
      </c>
    </row>
    <row r="43">
      <c r="A43" s="1" t="s">
        <v>56</v>
      </c>
      <c r="B43" s="1">
        <v>64.0</v>
      </c>
      <c r="C43" s="1" t="s">
        <v>252</v>
      </c>
      <c r="D43" s="10">
        <v>45883.0</v>
      </c>
    </row>
    <row r="44">
      <c r="A44" s="1" t="s">
        <v>41</v>
      </c>
      <c r="B44" s="1">
        <v>9.2</v>
      </c>
      <c r="C44" s="1" t="s">
        <v>253</v>
      </c>
      <c r="D44" s="10">
        <v>45883.0</v>
      </c>
    </row>
    <row r="45">
      <c r="A45" s="1" t="s">
        <v>56</v>
      </c>
      <c r="B45" s="1">
        <v>220.0</v>
      </c>
      <c r="C45" s="1" t="s">
        <v>254</v>
      </c>
      <c r="D45" s="10">
        <v>45883.0</v>
      </c>
    </row>
    <row r="46">
      <c r="A46" s="1" t="s">
        <v>50</v>
      </c>
      <c r="B46" s="1">
        <v>103.5</v>
      </c>
      <c r="C46" s="1" t="s">
        <v>156</v>
      </c>
      <c r="D46" s="10">
        <v>45883.0</v>
      </c>
    </row>
    <row r="47">
      <c r="A47" s="1" t="s">
        <v>73</v>
      </c>
      <c r="B47" s="1">
        <v>250.0</v>
      </c>
      <c r="C47" s="1" t="s">
        <v>255</v>
      </c>
      <c r="D47" s="10">
        <v>45882.0</v>
      </c>
    </row>
    <row r="48">
      <c r="A48" s="1" t="s">
        <v>222</v>
      </c>
      <c r="B48" s="1">
        <v>2450.0</v>
      </c>
      <c r="C48" s="1" t="s">
        <v>256</v>
      </c>
      <c r="D48" s="10">
        <v>45881.0</v>
      </c>
    </row>
    <row r="49">
      <c r="A49" s="1" t="s">
        <v>51</v>
      </c>
      <c r="B49" s="1">
        <v>15.18</v>
      </c>
      <c r="C49" s="1" t="s">
        <v>257</v>
      </c>
      <c r="D49" s="10">
        <v>45881.0</v>
      </c>
    </row>
    <row r="50">
      <c r="A50" s="1" t="s">
        <v>37</v>
      </c>
      <c r="B50" s="1">
        <v>4.0</v>
      </c>
      <c r="C50" s="1" t="s">
        <v>258</v>
      </c>
      <c r="D50" s="10">
        <v>45880.0</v>
      </c>
    </row>
    <row r="51">
      <c r="A51" s="1" t="s">
        <v>41</v>
      </c>
      <c r="B51" s="1">
        <v>4.5</v>
      </c>
      <c r="C51" s="1" t="s">
        <v>259</v>
      </c>
      <c r="D51" s="10">
        <v>45880.0</v>
      </c>
    </row>
    <row r="52">
      <c r="A52" s="1" t="s">
        <v>37</v>
      </c>
      <c r="B52" s="1">
        <v>4.0</v>
      </c>
      <c r="C52" s="1" t="s">
        <v>260</v>
      </c>
      <c r="D52" s="10">
        <v>45880.0</v>
      </c>
    </row>
    <row r="53">
      <c r="A53" s="1" t="s">
        <v>47</v>
      </c>
      <c r="B53" s="1">
        <v>55.59</v>
      </c>
      <c r="C53" s="1" t="s">
        <v>261</v>
      </c>
      <c r="D53" s="10">
        <v>45879.0</v>
      </c>
    </row>
    <row r="54">
      <c r="A54" s="1" t="s">
        <v>56</v>
      </c>
      <c r="B54" s="1">
        <v>2200.0</v>
      </c>
      <c r="C54" s="1" t="s">
        <v>262</v>
      </c>
      <c r="D54" s="10">
        <v>45877.0</v>
      </c>
    </row>
    <row r="55">
      <c r="A55" s="1" t="s">
        <v>56</v>
      </c>
      <c r="B55" s="1">
        <v>104.0</v>
      </c>
      <c r="C55" s="1" t="s">
        <v>263</v>
      </c>
      <c r="D55" s="10">
        <v>45877.0</v>
      </c>
    </row>
    <row r="56">
      <c r="A56" s="1" t="s">
        <v>37</v>
      </c>
      <c r="B56" s="1">
        <v>4.0</v>
      </c>
      <c r="C56" s="1" t="s">
        <v>264</v>
      </c>
      <c r="D56" s="10">
        <v>45876.0</v>
      </c>
    </row>
    <row r="57">
      <c r="A57" s="1" t="s">
        <v>56</v>
      </c>
      <c r="B57" s="1">
        <v>151.47</v>
      </c>
      <c r="C57" s="1" t="s">
        <v>265</v>
      </c>
      <c r="D57" s="10">
        <v>45876.0</v>
      </c>
    </row>
    <row r="58">
      <c r="A58" s="1" t="s">
        <v>224</v>
      </c>
      <c r="B58" s="1">
        <v>200.0</v>
      </c>
      <c r="C58" s="1" t="s">
        <v>266</v>
      </c>
      <c r="D58" s="10">
        <v>45876.0</v>
      </c>
    </row>
    <row r="59">
      <c r="A59" s="1" t="s">
        <v>47</v>
      </c>
      <c r="B59" s="1">
        <v>87.04</v>
      </c>
      <c r="C59" s="1" t="s">
        <v>267</v>
      </c>
      <c r="D59" s="10">
        <v>45876.0</v>
      </c>
    </row>
    <row r="60">
      <c r="A60" s="1" t="s">
        <v>80</v>
      </c>
      <c r="B60" s="1">
        <v>409.08</v>
      </c>
      <c r="C60" s="1" t="s">
        <v>268</v>
      </c>
      <c r="D60" s="10">
        <v>45876.0</v>
      </c>
    </row>
    <row r="61">
      <c r="A61" s="1" t="s">
        <v>73</v>
      </c>
      <c r="B61" s="1">
        <v>125.0</v>
      </c>
      <c r="C61" s="1" t="s">
        <v>269</v>
      </c>
      <c r="D61" s="10">
        <v>45875.0</v>
      </c>
    </row>
    <row r="62">
      <c r="A62" s="1" t="s">
        <v>62</v>
      </c>
      <c r="B62" s="1">
        <v>22.0</v>
      </c>
      <c r="C62" s="1" t="s">
        <v>270</v>
      </c>
      <c r="D62" s="10">
        <v>45875.0</v>
      </c>
    </row>
    <row r="63">
      <c r="A63" s="1" t="s">
        <v>41</v>
      </c>
      <c r="B63" s="1">
        <v>9.99</v>
      </c>
      <c r="C63" s="1" t="s">
        <v>271</v>
      </c>
      <c r="D63" s="10">
        <v>45875.0</v>
      </c>
    </row>
    <row r="64">
      <c r="A64" s="1" t="s">
        <v>56</v>
      </c>
      <c r="B64" s="1">
        <v>99.99</v>
      </c>
      <c r="C64" s="1" t="s">
        <v>272</v>
      </c>
      <c r="D64" s="10">
        <v>45874.0</v>
      </c>
    </row>
    <row r="65">
      <c r="A65" s="1" t="s">
        <v>50</v>
      </c>
      <c r="B65" s="1">
        <v>1280.0</v>
      </c>
      <c r="C65" s="1" t="s">
        <v>123</v>
      </c>
      <c r="D65" s="10">
        <v>45873.0</v>
      </c>
    </row>
    <row r="66">
      <c r="A66" s="1" t="s">
        <v>37</v>
      </c>
      <c r="B66" s="1">
        <v>4.0</v>
      </c>
      <c r="C66" s="1" t="s">
        <v>273</v>
      </c>
      <c r="D66" s="10">
        <v>45873.0</v>
      </c>
    </row>
    <row r="67">
      <c r="A67" s="1" t="s">
        <v>37</v>
      </c>
      <c r="B67" s="1">
        <v>4.0</v>
      </c>
      <c r="C67" s="1" t="s">
        <v>274</v>
      </c>
      <c r="D67" s="10">
        <v>45873.0</v>
      </c>
    </row>
    <row r="68">
      <c r="A68" s="1" t="s">
        <v>58</v>
      </c>
      <c r="B68" s="1">
        <v>59.99</v>
      </c>
      <c r="C68" s="1" t="s">
        <v>275</v>
      </c>
      <c r="D68" s="10">
        <v>45873.0</v>
      </c>
    </row>
    <row r="69">
      <c r="A69" s="1" t="s">
        <v>47</v>
      </c>
      <c r="B69" s="1">
        <v>180.99</v>
      </c>
      <c r="C69" s="1" t="s">
        <v>276</v>
      </c>
      <c r="D69" s="10">
        <v>45873.0</v>
      </c>
    </row>
    <row r="70">
      <c r="A70" s="1" t="s">
        <v>51</v>
      </c>
      <c r="B70" s="1">
        <v>21.98</v>
      </c>
      <c r="C70" s="1" t="s">
        <v>277</v>
      </c>
      <c r="D70" s="10">
        <v>45873.0</v>
      </c>
    </row>
    <row r="71">
      <c r="A71" s="1" t="s">
        <v>47</v>
      </c>
      <c r="B71" s="1">
        <v>32.0</v>
      </c>
      <c r="C71" s="1" t="s">
        <v>278</v>
      </c>
      <c r="D71" s="10">
        <v>45873.0</v>
      </c>
    </row>
    <row r="72">
      <c r="A72" s="1" t="s">
        <v>47</v>
      </c>
      <c r="B72" s="1">
        <v>46.0</v>
      </c>
      <c r="C72" s="1" t="s">
        <v>279</v>
      </c>
      <c r="D72" s="10">
        <v>45873.0</v>
      </c>
    </row>
    <row r="73">
      <c r="A73" s="1" t="s">
        <v>50</v>
      </c>
      <c r="B73" s="1">
        <v>363.0</v>
      </c>
      <c r="C73" s="1" t="s">
        <v>280</v>
      </c>
      <c r="D73" s="10">
        <v>45873.0</v>
      </c>
    </row>
    <row r="74">
      <c r="A74" s="1" t="s">
        <v>36</v>
      </c>
      <c r="B74" s="1">
        <v>106.22</v>
      </c>
      <c r="C74" s="1" t="s">
        <v>281</v>
      </c>
      <c r="D74" s="10">
        <v>45872.0</v>
      </c>
    </row>
    <row r="75">
      <c r="A75" s="1" t="s">
        <v>56</v>
      </c>
      <c r="B75" s="1">
        <v>222.5</v>
      </c>
      <c r="C75" s="1" t="s">
        <v>282</v>
      </c>
      <c r="D75" s="10">
        <v>45872.0</v>
      </c>
    </row>
    <row r="76">
      <c r="A76" s="1" t="s">
        <v>80</v>
      </c>
      <c r="B76" s="1">
        <v>35.97</v>
      </c>
      <c r="C76" s="1" t="s">
        <v>283</v>
      </c>
      <c r="D76" s="10">
        <v>45871.0</v>
      </c>
    </row>
    <row r="77">
      <c r="A77" s="1" t="s">
        <v>224</v>
      </c>
      <c r="B77" s="1">
        <v>550.0</v>
      </c>
      <c r="C77" s="1" t="s">
        <v>284</v>
      </c>
      <c r="D77" s="10">
        <v>45871.0</v>
      </c>
    </row>
    <row r="78">
      <c r="A78" s="1" t="s">
        <v>56</v>
      </c>
      <c r="B78" s="1">
        <v>500.0</v>
      </c>
      <c r="C78" s="1" t="s">
        <v>285</v>
      </c>
      <c r="D78" s="10">
        <v>45870.0</v>
      </c>
    </row>
    <row r="79">
      <c r="A79" s="1" t="s">
        <v>51</v>
      </c>
      <c r="B79" s="1">
        <v>260.46</v>
      </c>
      <c r="C79" s="1" t="s">
        <v>286</v>
      </c>
      <c r="D79" s="10">
        <v>45898.0</v>
      </c>
    </row>
    <row r="80">
      <c r="A80" s="1" t="s">
        <v>58</v>
      </c>
      <c r="B80" s="1">
        <v>381.87</v>
      </c>
      <c r="C80" s="1" t="s">
        <v>287</v>
      </c>
      <c r="D80" s="10">
        <v>45897.0</v>
      </c>
    </row>
    <row r="81">
      <c r="A81" s="1" t="s">
        <v>58</v>
      </c>
      <c r="B81" s="1">
        <v>229.58</v>
      </c>
      <c r="C81" s="1" t="s">
        <v>288</v>
      </c>
      <c r="D81" s="10">
        <v>45896.0</v>
      </c>
    </row>
    <row r="82">
      <c r="A82" s="1" t="s">
        <v>51</v>
      </c>
      <c r="B82" s="1">
        <v>206.78</v>
      </c>
      <c r="C82" s="1" t="s">
        <v>289</v>
      </c>
      <c r="D82" s="10">
        <v>45893.0</v>
      </c>
    </row>
    <row r="83">
      <c r="A83" s="1" t="s">
        <v>47</v>
      </c>
      <c r="B83" s="1">
        <v>350.01</v>
      </c>
      <c r="C83" s="1" t="s">
        <v>290</v>
      </c>
      <c r="D83" s="10">
        <v>45891.0</v>
      </c>
    </row>
    <row r="84">
      <c r="A84" s="1" t="s">
        <v>51</v>
      </c>
      <c r="B84" s="1">
        <v>177.02</v>
      </c>
      <c r="C84" s="1" t="s">
        <v>291</v>
      </c>
      <c r="D84" s="10">
        <v>45891.0</v>
      </c>
    </row>
    <row r="85">
      <c r="A85" s="1" t="s">
        <v>46</v>
      </c>
      <c r="B85" s="1">
        <v>5176.0</v>
      </c>
      <c r="C85" s="1" t="s">
        <v>292</v>
      </c>
      <c r="D85" s="10">
        <v>45888.0</v>
      </c>
    </row>
    <row r="86">
      <c r="A86" s="1" t="s">
        <v>40</v>
      </c>
      <c r="B86" s="1">
        <v>3153.0</v>
      </c>
      <c r="C86" s="1" t="s">
        <v>293</v>
      </c>
      <c r="D86" s="10">
        <v>45888.0</v>
      </c>
    </row>
    <row r="87">
      <c r="A87" s="1" t="s">
        <v>51</v>
      </c>
      <c r="B87" s="1">
        <v>99.52</v>
      </c>
      <c r="C87" s="1" t="s">
        <v>294</v>
      </c>
      <c r="D87" s="10">
        <v>45884.0</v>
      </c>
    </row>
    <row r="88">
      <c r="A88" s="1" t="s">
        <v>51</v>
      </c>
      <c r="B88" s="1">
        <v>170.1</v>
      </c>
      <c r="C88" s="1" t="s">
        <v>295</v>
      </c>
      <c r="D88" s="10">
        <v>45878.0</v>
      </c>
    </row>
    <row r="89">
      <c r="A89" s="1" t="s">
        <v>58</v>
      </c>
      <c r="B89" s="1">
        <v>229.58</v>
      </c>
      <c r="C89" s="1" t="s">
        <v>296</v>
      </c>
      <c r="D89" s="10">
        <v>45873.0</v>
      </c>
    </row>
    <row r="90">
      <c r="A90" s="1" t="s">
        <v>47</v>
      </c>
      <c r="B90" s="1">
        <v>2274.5</v>
      </c>
      <c r="C90" s="1" t="s">
        <v>297</v>
      </c>
      <c r="D90" s="10">
        <v>45873.0</v>
      </c>
    </row>
    <row r="91">
      <c r="A91" s="1" t="s">
        <v>58</v>
      </c>
      <c r="B91" s="1">
        <v>246.0</v>
      </c>
      <c r="C91" s="1" t="s">
        <v>298</v>
      </c>
      <c r="D91" s="10">
        <v>45873.0</v>
      </c>
    </row>
    <row r="92">
      <c r="A92" s="1" t="s">
        <v>40</v>
      </c>
      <c r="B92" s="1">
        <v>12.0</v>
      </c>
      <c r="C92" s="1" t="s">
        <v>299</v>
      </c>
      <c r="D92" s="10">
        <v>45873.0</v>
      </c>
    </row>
    <row r="93">
      <c r="A93" s="1" t="s">
        <v>201</v>
      </c>
      <c r="B93" s="1">
        <v>3213.25</v>
      </c>
      <c r="C93" s="1" t="s">
        <v>300</v>
      </c>
      <c r="D93" s="10">
        <v>45873.0</v>
      </c>
    </row>
    <row r="94">
      <c r="A94" s="5" t="s">
        <v>58</v>
      </c>
      <c r="B94" s="5">
        <v>82.29</v>
      </c>
      <c r="C94" s="5" t="s">
        <v>301</v>
      </c>
      <c r="D94" s="10">
        <v>45873.0</v>
      </c>
    </row>
    <row r="95">
      <c r="A95" s="5" t="s">
        <v>51</v>
      </c>
      <c r="B95" s="5">
        <v>206.44</v>
      </c>
      <c r="C95" s="5" t="s">
        <v>302</v>
      </c>
      <c r="D95" s="10">
        <v>45871.0</v>
      </c>
    </row>
    <row r="96">
      <c r="A96" s="14"/>
      <c r="B96" s="15"/>
      <c r="C96" s="14"/>
      <c r="D96" s="16"/>
    </row>
    <row r="97">
      <c r="A97" s="14"/>
      <c r="B97" s="15"/>
      <c r="C97" s="14"/>
      <c r="D97" s="16"/>
    </row>
    <row r="98">
      <c r="A98" s="14"/>
      <c r="B98" s="15"/>
      <c r="C98" s="14"/>
      <c r="D98" s="16"/>
    </row>
    <row r="99">
      <c r="A99" s="14"/>
      <c r="B99" s="15"/>
      <c r="C99" s="14"/>
      <c r="D99" s="16"/>
    </row>
    <row r="100">
      <c r="A100" s="14"/>
      <c r="B100" s="15"/>
      <c r="C100" s="14"/>
      <c r="D100" s="16"/>
    </row>
    <row r="101">
      <c r="A101" s="14"/>
      <c r="B101" s="15"/>
      <c r="C101" s="14"/>
      <c r="D101" s="16"/>
    </row>
    <row r="102">
      <c r="A102" s="14"/>
      <c r="B102" s="15"/>
      <c r="C102" s="14"/>
      <c r="D102" s="16"/>
    </row>
    <row r="103">
      <c r="A103" s="14"/>
      <c r="B103" s="15"/>
      <c r="C103" s="14"/>
      <c r="D103" s="16"/>
    </row>
    <row r="104">
      <c r="A104" s="14"/>
      <c r="B104" s="15"/>
      <c r="C104" s="14"/>
      <c r="D104" s="16"/>
    </row>
    <row r="105">
      <c r="A105" s="14"/>
      <c r="B105" s="15"/>
      <c r="C105" s="14"/>
      <c r="D105" s="16"/>
    </row>
    <row r="106">
      <c r="A106" s="5"/>
      <c r="B106" s="5"/>
      <c r="C106" s="5"/>
      <c r="D106" s="10"/>
    </row>
    <row r="107">
      <c r="A107" s="5"/>
      <c r="B107" s="5"/>
      <c r="C107" s="5"/>
      <c r="D107" s="10"/>
    </row>
    <row r="108">
      <c r="A108" s="5"/>
      <c r="B108" s="5"/>
      <c r="C108" s="5"/>
      <c r="D108" s="10"/>
    </row>
    <row r="109">
      <c r="A109" s="5"/>
      <c r="B109" s="5"/>
      <c r="C109" s="5"/>
      <c r="D109" s="10"/>
    </row>
    <row r="110">
      <c r="A110" s="5"/>
      <c r="B110" s="5"/>
      <c r="C110" s="5"/>
      <c r="D110" s="10"/>
    </row>
    <row r="111">
      <c r="A111" s="5"/>
      <c r="B111" s="5"/>
      <c r="C111" s="5"/>
      <c r="D111" s="10"/>
    </row>
    <row r="112">
      <c r="A112" s="5"/>
      <c r="B112" s="5"/>
      <c r="C112" s="5"/>
      <c r="D112" s="10"/>
    </row>
    <row r="113">
      <c r="A113" s="5"/>
      <c r="B113" s="5"/>
      <c r="C113" s="5"/>
      <c r="D113" s="10"/>
    </row>
    <row r="114">
      <c r="A114" s="5"/>
      <c r="B114" s="5"/>
      <c r="C114" s="5"/>
      <c r="D114" s="10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5">
        <sortState ref="A2:D105">
          <sortCondition ref="D2:D105"/>
          <sortCondition ref="B2:B105"/>
        </sortState>
      </autoFilter>
    </customSheetView>
  </customSheetViews>
  <mergeCells count="2">
    <mergeCell ref="A1:B1"/>
    <mergeCell ref="E1:F1"/>
  </mergeCells>
  <conditionalFormatting sqref="D94:D107">
    <cfRule type="notContainsBlanks" dxfId="0" priority="1">
      <formula>LEN(TRIM(D94))&gt;0</formula>
    </cfRule>
  </conditionalFormatting>
  <dataValidations>
    <dataValidation type="list" allowBlank="1" sqref="A94:A107">
      <formula1>kategorie!$A$1:$A$50</formula1>
    </dataValidation>
  </dataValidation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2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13925.74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A3" s="1" t="s">
        <v>36</v>
      </c>
      <c r="B3" s="1">
        <v>35.08</v>
      </c>
      <c r="C3" s="1" t="s">
        <v>303</v>
      </c>
      <c r="D3" s="10">
        <v>45865.0</v>
      </c>
      <c r="E3" s="1" t="s">
        <v>34</v>
      </c>
      <c r="F3" s="8">
        <v>32545.0</v>
      </c>
      <c r="H3" s="2">
        <f>Zbiorczy!D61</f>
        <v>160100.21</v>
      </c>
      <c r="J3" s="3">
        <f t="shared" ref="J3:J7" si="1">SUMIF($A$3:A$197, K3, B$3:B$197)</f>
        <v>3213.25</v>
      </c>
      <c r="K3" s="1" t="s">
        <v>35</v>
      </c>
      <c r="M3" s="3">
        <f t="shared" ref="M3:M9" si="2">SUMIF($A$3:A$197, N3, B$3:B$197)</f>
        <v>206.28</v>
      </c>
      <c r="N3" s="1" t="s">
        <v>36</v>
      </c>
    </row>
    <row r="4">
      <c r="A4" s="1" t="s">
        <v>36</v>
      </c>
      <c r="B4" s="1">
        <v>4.5</v>
      </c>
      <c r="C4" s="1" t="s">
        <v>304</v>
      </c>
      <c r="D4" s="10">
        <v>45865.0</v>
      </c>
      <c r="E4" s="1" t="s">
        <v>39</v>
      </c>
      <c r="F4" s="1">
        <v>1990.0</v>
      </c>
      <c r="J4" s="3">
        <f t="shared" si="1"/>
        <v>3781</v>
      </c>
      <c r="K4" s="1" t="s">
        <v>40</v>
      </c>
      <c r="M4" s="3">
        <f t="shared" si="2"/>
        <v>80.77</v>
      </c>
      <c r="N4" s="1" t="s">
        <v>41</v>
      </c>
    </row>
    <row r="5">
      <c r="A5" s="1" t="s">
        <v>56</v>
      </c>
      <c r="B5" s="1">
        <v>500.0</v>
      </c>
      <c r="C5" s="1" t="s">
        <v>305</v>
      </c>
      <c r="D5" s="10">
        <v>45864.0</v>
      </c>
      <c r="E5" s="1" t="s">
        <v>45</v>
      </c>
      <c r="J5" s="3">
        <f t="shared" si="1"/>
        <v>5730</v>
      </c>
      <c r="K5" s="1" t="s">
        <v>46</v>
      </c>
      <c r="M5" s="3">
        <f t="shared" si="2"/>
        <v>4777.93</v>
      </c>
      <c r="N5" s="1" t="s">
        <v>47</v>
      </c>
    </row>
    <row r="6">
      <c r="A6" s="1" t="s">
        <v>62</v>
      </c>
      <c r="B6" s="1">
        <v>22.0</v>
      </c>
      <c r="C6" s="1" t="s">
        <v>306</v>
      </c>
      <c r="D6" s="10">
        <v>45863.0</v>
      </c>
      <c r="J6" s="3">
        <f t="shared" si="1"/>
        <v>1201.49</v>
      </c>
      <c r="K6" s="1" t="s">
        <v>50</v>
      </c>
      <c r="M6" s="3">
        <f t="shared" si="2"/>
        <v>239.12</v>
      </c>
      <c r="N6" s="1" t="s">
        <v>51</v>
      </c>
    </row>
    <row r="7">
      <c r="A7" s="1" t="s">
        <v>307</v>
      </c>
      <c r="B7" s="1">
        <v>1199.98</v>
      </c>
      <c r="C7" s="1" t="s">
        <v>308</v>
      </c>
      <c r="D7" s="10">
        <v>45862.0</v>
      </c>
      <c r="J7" s="3">
        <f t="shared" si="1"/>
        <v>0</v>
      </c>
      <c r="K7" s="1" t="s">
        <v>55</v>
      </c>
      <c r="M7" s="3">
        <f t="shared" si="2"/>
        <v>11277.03</v>
      </c>
      <c r="N7" s="1" t="s">
        <v>56</v>
      </c>
    </row>
    <row r="8">
      <c r="A8" s="1" t="s">
        <v>56</v>
      </c>
      <c r="B8" s="1">
        <v>77.86</v>
      </c>
      <c r="C8" s="1" t="s">
        <v>309</v>
      </c>
      <c r="D8" s="10">
        <v>45862.0</v>
      </c>
      <c r="M8" s="3">
        <f t="shared" si="2"/>
        <v>4777.93</v>
      </c>
      <c r="N8" s="1" t="s">
        <v>47</v>
      </c>
    </row>
    <row r="9">
      <c r="A9" s="1" t="s">
        <v>36</v>
      </c>
      <c r="B9" s="1">
        <v>4.5</v>
      </c>
      <c r="C9" s="1" t="s">
        <v>310</v>
      </c>
      <c r="D9" s="10">
        <v>45862.0</v>
      </c>
      <c r="M9" s="3">
        <f t="shared" si="2"/>
        <v>888.52</v>
      </c>
      <c r="N9" s="1" t="s">
        <v>62</v>
      </c>
    </row>
    <row r="10">
      <c r="A10" s="1" t="s">
        <v>62</v>
      </c>
      <c r="B10" s="1">
        <v>20.0</v>
      </c>
      <c r="C10" s="1" t="s">
        <v>311</v>
      </c>
      <c r="D10" s="10">
        <v>45862.0</v>
      </c>
    </row>
    <row r="11">
      <c r="A11" s="1" t="s">
        <v>58</v>
      </c>
      <c r="B11" s="1">
        <v>39.99</v>
      </c>
      <c r="C11" s="1" t="s">
        <v>312</v>
      </c>
      <c r="D11" s="10">
        <v>45862.0</v>
      </c>
    </row>
    <row r="12">
      <c r="A12" s="1" t="s">
        <v>50</v>
      </c>
      <c r="B12" s="1">
        <v>235.0</v>
      </c>
      <c r="C12" s="1" t="s">
        <v>313</v>
      </c>
      <c r="D12" s="10">
        <v>45860.0</v>
      </c>
    </row>
    <row r="13">
      <c r="A13" s="1" t="s">
        <v>73</v>
      </c>
      <c r="B13" s="1">
        <v>250.0</v>
      </c>
      <c r="C13" s="1" t="s">
        <v>314</v>
      </c>
      <c r="D13" s="10">
        <v>45859.0</v>
      </c>
    </row>
    <row r="14">
      <c r="A14" s="1" t="s">
        <v>41</v>
      </c>
      <c r="B14" s="1">
        <v>19.49</v>
      </c>
      <c r="C14" s="1" t="s">
        <v>315</v>
      </c>
      <c r="D14" s="10">
        <v>45859.0</v>
      </c>
    </row>
    <row r="15">
      <c r="A15" s="1" t="s">
        <v>42</v>
      </c>
      <c r="B15" s="1">
        <v>15.3</v>
      </c>
      <c r="C15" s="1" t="s">
        <v>316</v>
      </c>
      <c r="D15" s="10">
        <v>45859.0</v>
      </c>
    </row>
    <row r="16">
      <c r="A16" s="1" t="s">
        <v>42</v>
      </c>
      <c r="B16" s="1">
        <v>15.3</v>
      </c>
      <c r="C16" s="1" t="s">
        <v>317</v>
      </c>
      <c r="D16" s="10">
        <v>45858.0</v>
      </c>
    </row>
    <row r="17">
      <c r="A17" s="1" t="s">
        <v>148</v>
      </c>
      <c r="B17" s="1">
        <v>59.98</v>
      </c>
      <c r="C17" s="1" t="s">
        <v>318</v>
      </c>
      <c r="D17" s="10">
        <v>45858.0</v>
      </c>
    </row>
    <row r="18">
      <c r="A18" s="1" t="s">
        <v>42</v>
      </c>
      <c r="B18" s="1">
        <v>15.25</v>
      </c>
      <c r="C18" s="1" t="s">
        <v>319</v>
      </c>
      <c r="D18" s="10">
        <v>45858.0</v>
      </c>
    </row>
    <row r="19">
      <c r="A19" s="1" t="s">
        <v>41</v>
      </c>
      <c r="B19" s="1">
        <v>10.1</v>
      </c>
      <c r="C19" s="1" t="s">
        <v>320</v>
      </c>
      <c r="D19" s="10">
        <v>45858.0</v>
      </c>
    </row>
    <row r="20">
      <c r="A20" s="1" t="s">
        <v>56</v>
      </c>
      <c r="B20" s="1">
        <v>5.0</v>
      </c>
      <c r="C20" s="1" t="s">
        <v>321</v>
      </c>
      <c r="D20" s="10">
        <v>45858.0</v>
      </c>
    </row>
    <row r="21">
      <c r="A21" s="1" t="s">
        <v>80</v>
      </c>
      <c r="B21" s="1">
        <v>87.49</v>
      </c>
      <c r="C21" s="1" t="s">
        <v>322</v>
      </c>
      <c r="D21" s="10">
        <v>45858.0</v>
      </c>
      <c r="E21" s="11"/>
      <c r="F21" s="11"/>
      <c r="G21" s="11"/>
    </row>
    <row r="22">
      <c r="A22" s="1" t="s">
        <v>58</v>
      </c>
      <c r="B22" s="1">
        <v>14.99</v>
      </c>
      <c r="C22" s="1" t="s">
        <v>323</v>
      </c>
      <c r="D22" s="10">
        <v>45858.0</v>
      </c>
    </row>
    <row r="23">
      <c r="A23" s="1" t="s">
        <v>56</v>
      </c>
      <c r="B23" s="1">
        <v>18.99</v>
      </c>
      <c r="C23" s="1" t="s">
        <v>325</v>
      </c>
      <c r="D23" s="10">
        <v>45857.0</v>
      </c>
    </row>
    <row r="24">
      <c r="A24" s="1" t="s">
        <v>56</v>
      </c>
      <c r="B24" s="1">
        <v>10.0</v>
      </c>
      <c r="C24" s="1" t="s">
        <v>326</v>
      </c>
      <c r="D24" s="10">
        <v>45856.0</v>
      </c>
    </row>
    <row r="25">
      <c r="A25" s="1" t="s">
        <v>50</v>
      </c>
      <c r="B25" s="1">
        <v>99.99</v>
      </c>
      <c r="C25" s="1" t="s">
        <v>327</v>
      </c>
      <c r="D25" s="10">
        <v>45856.0</v>
      </c>
    </row>
    <row r="26">
      <c r="A26" s="1" t="s">
        <v>56</v>
      </c>
      <c r="B26" s="1">
        <v>15.54</v>
      </c>
      <c r="C26" s="1" t="s">
        <v>328</v>
      </c>
      <c r="D26" s="10">
        <v>45855.0</v>
      </c>
    </row>
    <row r="27">
      <c r="A27" s="1" t="s">
        <v>62</v>
      </c>
      <c r="B27" s="1">
        <v>44.0</v>
      </c>
      <c r="C27" s="1" t="s">
        <v>329</v>
      </c>
      <c r="D27" s="10">
        <v>45855.0</v>
      </c>
    </row>
    <row r="28">
      <c r="A28" s="1" t="s">
        <v>37</v>
      </c>
      <c r="B28" s="1">
        <v>48.93</v>
      </c>
      <c r="C28" s="1" t="s">
        <v>330</v>
      </c>
      <c r="D28" s="10">
        <v>45855.0</v>
      </c>
    </row>
    <row r="29">
      <c r="A29" s="1" t="s">
        <v>42</v>
      </c>
      <c r="B29" s="1">
        <v>22.9</v>
      </c>
      <c r="C29" s="1" t="s">
        <v>331</v>
      </c>
      <c r="D29" s="10">
        <v>45855.0</v>
      </c>
    </row>
    <row r="30">
      <c r="A30" s="1" t="s">
        <v>56</v>
      </c>
      <c r="B30" s="1">
        <v>1786.83</v>
      </c>
      <c r="C30" s="1" t="s">
        <v>332</v>
      </c>
      <c r="D30" s="10">
        <v>45854.0</v>
      </c>
    </row>
    <row r="31">
      <c r="A31" s="1" t="s">
        <v>47</v>
      </c>
      <c r="B31" s="1">
        <v>10.25</v>
      </c>
      <c r="C31" s="1" t="s">
        <v>333</v>
      </c>
      <c r="D31" s="10">
        <v>45854.0</v>
      </c>
    </row>
    <row r="32">
      <c r="A32" s="1" t="s">
        <v>56</v>
      </c>
      <c r="B32" s="1">
        <v>500.0</v>
      </c>
      <c r="C32" s="1" t="s">
        <v>334</v>
      </c>
      <c r="D32" s="10">
        <v>45854.0</v>
      </c>
    </row>
    <row r="33">
      <c r="A33" s="1" t="s">
        <v>41</v>
      </c>
      <c r="B33" s="1">
        <v>7.0</v>
      </c>
      <c r="C33" s="1" t="s">
        <v>335</v>
      </c>
      <c r="D33" s="10">
        <v>45854.0</v>
      </c>
    </row>
    <row r="34">
      <c r="A34" s="1" t="s">
        <v>58</v>
      </c>
      <c r="B34" s="1">
        <v>20.0</v>
      </c>
      <c r="C34" s="1" t="s">
        <v>336</v>
      </c>
      <c r="D34" s="10">
        <v>45853.0</v>
      </c>
    </row>
    <row r="35">
      <c r="A35" s="1" t="s">
        <v>62</v>
      </c>
      <c r="B35" s="1">
        <v>56.0</v>
      </c>
      <c r="C35" s="1" t="s">
        <v>337</v>
      </c>
      <c r="D35" s="10">
        <v>45853.0</v>
      </c>
    </row>
    <row r="36">
      <c r="A36" s="1" t="s">
        <v>37</v>
      </c>
      <c r="B36" s="1">
        <v>70.0</v>
      </c>
      <c r="C36" s="1" t="s">
        <v>338</v>
      </c>
      <c r="D36" s="10">
        <v>45853.0</v>
      </c>
    </row>
    <row r="37">
      <c r="A37" s="1" t="s">
        <v>41</v>
      </c>
      <c r="B37" s="1">
        <v>9.98</v>
      </c>
      <c r="C37" s="1" t="s">
        <v>339</v>
      </c>
      <c r="D37" s="10">
        <v>45853.0</v>
      </c>
    </row>
    <row r="38">
      <c r="A38" s="1" t="s">
        <v>62</v>
      </c>
      <c r="B38" s="1">
        <v>54.0</v>
      </c>
      <c r="C38" s="1" t="s">
        <v>340</v>
      </c>
      <c r="D38" s="10">
        <v>45853.0</v>
      </c>
    </row>
    <row r="39">
      <c r="A39" s="1" t="s">
        <v>62</v>
      </c>
      <c r="B39" s="1">
        <v>66.0</v>
      </c>
      <c r="C39" s="1" t="s">
        <v>341</v>
      </c>
      <c r="D39" s="10">
        <v>45853.0</v>
      </c>
    </row>
    <row r="40">
      <c r="A40" s="1" t="s">
        <v>56</v>
      </c>
      <c r="B40" s="1">
        <v>700.0</v>
      </c>
      <c r="C40" s="1" t="s">
        <v>342</v>
      </c>
      <c r="D40" s="10">
        <v>45852.0</v>
      </c>
    </row>
    <row r="41">
      <c r="A41" s="1" t="s">
        <v>56</v>
      </c>
      <c r="B41" s="1">
        <v>56.0</v>
      </c>
      <c r="C41" s="1" t="s">
        <v>343</v>
      </c>
      <c r="D41" s="10">
        <v>45852.0</v>
      </c>
    </row>
    <row r="42">
      <c r="A42" s="1" t="s">
        <v>148</v>
      </c>
      <c r="B42" s="1">
        <v>137.1</v>
      </c>
      <c r="C42" s="1" t="s">
        <v>344</v>
      </c>
      <c r="D42" s="10">
        <v>45852.0</v>
      </c>
    </row>
    <row r="43">
      <c r="A43" s="1" t="s">
        <v>56</v>
      </c>
      <c r="B43" s="1">
        <v>76.93</v>
      </c>
      <c r="C43" s="1" t="s">
        <v>345</v>
      </c>
      <c r="D43" s="10">
        <v>45852.0</v>
      </c>
    </row>
    <row r="44">
      <c r="A44" s="1" t="s">
        <v>56</v>
      </c>
      <c r="B44" s="1">
        <v>10.0</v>
      </c>
      <c r="C44" s="1" t="s">
        <v>346</v>
      </c>
      <c r="D44" s="10">
        <v>45852.0</v>
      </c>
    </row>
    <row r="45">
      <c r="A45" s="1" t="s">
        <v>47</v>
      </c>
      <c r="B45" s="1">
        <v>50.0</v>
      </c>
      <c r="C45" s="1" t="s">
        <v>347</v>
      </c>
      <c r="D45" s="10">
        <v>45852.0</v>
      </c>
    </row>
    <row r="46">
      <c r="A46" s="1" t="s">
        <v>62</v>
      </c>
      <c r="B46" s="1">
        <v>79.0</v>
      </c>
      <c r="C46" s="1" t="s">
        <v>348</v>
      </c>
      <c r="D46" s="10">
        <v>45852.0</v>
      </c>
    </row>
    <row r="47">
      <c r="A47" s="1" t="s">
        <v>41</v>
      </c>
      <c r="B47" s="1">
        <v>8.4</v>
      </c>
      <c r="C47" s="1" t="s">
        <v>349</v>
      </c>
      <c r="D47" s="10">
        <v>45852.0</v>
      </c>
    </row>
    <row r="48">
      <c r="A48" s="1" t="s">
        <v>56</v>
      </c>
      <c r="B48" s="1">
        <v>50.0</v>
      </c>
      <c r="C48" s="1" t="s">
        <v>350</v>
      </c>
      <c r="D48" s="10">
        <v>45851.0</v>
      </c>
    </row>
    <row r="49">
      <c r="A49" s="1" t="s">
        <v>62</v>
      </c>
      <c r="B49" s="1">
        <v>350.0</v>
      </c>
      <c r="C49" s="1" t="s">
        <v>351</v>
      </c>
      <c r="D49" s="10">
        <v>45851.0</v>
      </c>
    </row>
    <row r="50">
      <c r="A50" s="1" t="s">
        <v>37</v>
      </c>
      <c r="B50" s="1">
        <v>34.9</v>
      </c>
      <c r="C50" s="1" t="s">
        <v>352</v>
      </c>
      <c r="D50" s="10">
        <v>45851.0</v>
      </c>
    </row>
    <row r="51">
      <c r="A51" s="1" t="s">
        <v>80</v>
      </c>
      <c r="B51" s="1">
        <v>9.99</v>
      </c>
      <c r="C51" s="1" t="s">
        <v>353</v>
      </c>
      <c r="D51" s="10">
        <v>45850.0</v>
      </c>
    </row>
    <row r="52">
      <c r="A52" s="1" t="s">
        <v>62</v>
      </c>
      <c r="B52" s="1">
        <v>22.0</v>
      </c>
      <c r="C52" s="1" t="s">
        <v>354</v>
      </c>
      <c r="D52" s="10">
        <v>45850.0</v>
      </c>
    </row>
    <row r="53">
      <c r="A53" s="1" t="s">
        <v>56</v>
      </c>
      <c r="B53" s="1">
        <v>18.99</v>
      </c>
      <c r="C53" s="1" t="s">
        <v>355</v>
      </c>
      <c r="D53" s="10">
        <v>45850.0</v>
      </c>
    </row>
    <row r="54">
      <c r="A54" s="1" t="s">
        <v>37</v>
      </c>
      <c r="B54" s="1">
        <v>731.2</v>
      </c>
      <c r="C54" s="1" t="s">
        <v>356</v>
      </c>
      <c r="D54" s="10">
        <v>45850.0</v>
      </c>
    </row>
    <row r="55">
      <c r="A55" s="1" t="s">
        <v>56</v>
      </c>
      <c r="B55" s="1">
        <v>24.99</v>
      </c>
      <c r="C55" s="1" t="s">
        <v>357</v>
      </c>
      <c r="D55" s="10">
        <v>45849.0</v>
      </c>
    </row>
    <row r="56">
      <c r="A56" s="1" t="s">
        <v>56</v>
      </c>
      <c r="B56" s="1">
        <v>1000.0</v>
      </c>
      <c r="C56" s="1" t="s">
        <v>358</v>
      </c>
      <c r="D56" s="10">
        <v>45848.0</v>
      </c>
    </row>
    <row r="57">
      <c r="A57" s="1" t="s">
        <v>50</v>
      </c>
      <c r="B57" s="1">
        <v>103.5</v>
      </c>
      <c r="C57" s="1" t="s">
        <v>359</v>
      </c>
      <c r="D57" s="10">
        <v>45848.0</v>
      </c>
    </row>
    <row r="58">
      <c r="A58" s="1" t="s">
        <v>41</v>
      </c>
      <c r="B58" s="1">
        <v>17.3</v>
      </c>
      <c r="C58" s="1" t="s">
        <v>360</v>
      </c>
      <c r="D58" s="10">
        <v>45847.0</v>
      </c>
    </row>
    <row r="59">
      <c r="A59" s="1" t="s">
        <v>58</v>
      </c>
      <c r="B59" s="1">
        <v>29.99</v>
      </c>
      <c r="C59" s="1" t="s">
        <v>361</v>
      </c>
      <c r="D59" s="10">
        <v>45847.0</v>
      </c>
    </row>
    <row r="60">
      <c r="A60" s="1" t="s">
        <v>73</v>
      </c>
      <c r="B60" s="1">
        <v>250.0</v>
      </c>
      <c r="C60" s="1" t="s">
        <v>362</v>
      </c>
      <c r="D60" s="10">
        <v>45847.0</v>
      </c>
    </row>
    <row r="61">
      <c r="A61" s="1" t="s">
        <v>36</v>
      </c>
      <c r="B61" s="1">
        <v>71.12</v>
      </c>
      <c r="C61" s="1" t="s">
        <v>363</v>
      </c>
      <c r="D61" s="10">
        <v>45847.0</v>
      </c>
    </row>
    <row r="62">
      <c r="A62" s="1" t="s">
        <v>50</v>
      </c>
      <c r="B62" s="1">
        <v>400.0</v>
      </c>
      <c r="C62" s="1" t="s">
        <v>364</v>
      </c>
      <c r="D62" s="10">
        <v>45846.0</v>
      </c>
    </row>
    <row r="63">
      <c r="A63" s="1" t="s">
        <v>56</v>
      </c>
      <c r="B63" s="1">
        <v>400.0</v>
      </c>
      <c r="C63" s="1" t="s">
        <v>365</v>
      </c>
      <c r="D63" s="10">
        <v>45846.0</v>
      </c>
    </row>
    <row r="64">
      <c r="A64" s="1" t="s">
        <v>37</v>
      </c>
      <c r="B64" s="1">
        <v>22.92</v>
      </c>
      <c r="C64" s="1" t="s">
        <v>366</v>
      </c>
      <c r="D64" s="10">
        <v>45846.0</v>
      </c>
    </row>
    <row r="65">
      <c r="A65" s="1" t="s">
        <v>62</v>
      </c>
      <c r="B65" s="1">
        <v>31.9</v>
      </c>
      <c r="C65" s="1" t="s">
        <v>367</v>
      </c>
      <c r="D65" s="10">
        <v>45846.0</v>
      </c>
    </row>
    <row r="66">
      <c r="A66" s="1" t="s">
        <v>56</v>
      </c>
      <c r="B66" s="1">
        <v>72.09</v>
      </c>
      <c r="C66" s="1" t="s">
        <v>368</v>
      </c>
      <c r="D66" s="10">
        <v>45846.0</v>
      </c>
    </row>
    <row r="67">
      <c r="A67" s="1" t="s">
        <v>56</v>
      </c>
      <c r="B67" s="1">
        <v>2117.0</v>
      </c>
      <c r="C67" s="1" t="s">
        <v>369</v>
      </c>
      <c r="D67" s="10">
        <v>45845.0</v>
      </c>
    </row>
    <row r="68">
      <c r="A68" s="1" t="s">
        <v>37</v>
      </c>
      <c r="B68" s="1">
        <v>4.0</v>
      </c>
      <c r="C68" s="1" t="s">
        <v>370</v>
      </c>
      <c r="D68" s="10">
        <v>45845.0</v>
      </c>
    </row>
    <row r="69">
      <c r="A69" s="1" t="s">
        <v>56</v>
      </c>
      <c r="B69" s="1">
        <v>1925.82</v>
      </c>
      <c r="C69" s="1" t="s">
        <v>371</v>
      </c>
      <c r="D69" s="10">
        <v>45843.0</v>
      </c>
    </row>
    <row r="70">
      <c r="A70" s="1" t="s">
        <v>62</v>
      </c>
      <c r="B70" s="1">
        <v>34.8</v>
      </c>
      <c r="C70" s="1" t="s">
        <v>372</v>
      </c>
      <c r="D70" s="10">
        <v>45843.0</v>
      </c>
    </row>
    <row r="71">
      <c r="A71" s="1" t="s">
        <v>47</v>
      </c>
      <c r="B71" s="1">
        <v>6.9</v>
      </c>
      <c r="C71" s="1" t="s">
        <v>373</v>
      </c>
      <c r="D71" s="10">
        <v>45843.0</v>
      </c>
    </row>
    <row r="72">
      <c r="A72" s="1" t="s">
        <v>42</v>
      </c>
      <c r="B72" s="1">
        <v>31.0</v>
      </c>
      <c r="C72" s="1" t="s">
        <v>374</v>
      </c>
      <c r="D72" s="10">
        <v>45843.0</v>
      </c>
    </row>
    <row r="73">
      <c r="A73" s="1" t="s">
        <v>56</v>
      </c>
      <c r="B73" s="1">
        <v>59.99</v>
      </c>
      <c r="C73" s="1" t="s">
        <v>375</v>
      </c>
      <c r="D73" s="10">
        <v>45843.0</v>
      </c>
    </row>
    <row r="74">
      <c r="A74" s="1" t="s">
        <v>56</v>
      </c>
      <c r="B74" s="1">
        <v>639.57</v>
      </c>
      <c r="C74" s="1" t="s">
        <v>376</v>
      </c>
      <c r="D74" s="10">
        <v>45842.0</v>
      </c>
    </row>
    <row r="75">
      <c r="A75" s="1" t="s">
        <v>62</v>
      </c>
      <c r="B75" s="1">
        <v>22.0</v>
      </c>
      <c r="C75" s="1" t="s">
        <v>377</v>
      </c>
      <c r="D75" s="10">
        <v>45842.0</v>
      </c>
    </row>
    <row r="76">
      <c r="A76" s="1" t="s">
        <v>56</v>
      </c>
      <c r="B76" s="1">
        <v>28.53</v>
      </c>
      <c r="C76" s="1" t="s">
        <v>378</v>
      </c>
      <c r="D76" s="10">
        <v>45840.0</v>
      </c>
    </row>
    <row r="77">
      <c r="A77" s="1" t="s">
        <v>56</v>
      </c>
      <c r="B77" s="1">
        <v>1000.0</v>
      </c>
      <c r="C77" s="1" t="s">
        <v>379</v>
      </c>
      <c r="D77" s="10">
        <v>45840.0</v>
      </c>
    </row>
    <row r="78">
      <c r="A78" s="1" t="s">
        <v>50</v>
      </c>
      <c r="B78" s="1">
        <v>363.0</v>
      </c>
      <c r="C78" s="1" t="s">
        <v>380</v>
      </c>
      <c r="D78" s="10">
        <v>45839.0</v>
      </c>
    </row>
    <row r="79">
      <c r="A79" s="1" t="s">
        <v>51</v>
      </c>
      <c r="B79" s="1">
        <v>8.79</v>
      </c>
      <c r="C79" s="1" t="s">
        <v>381</v>
      </c>
      <c r="D79" s="10">
        <v>45839.0</v>
      </c>
    </row>
    <row r="80">
      <c r="A80" s="1" t="s">
        <v>46</v>
      </c>
      <c r="B80" s="1">
        <v>5730.0</v>
      </c>
      <c r="C80" s="1" t="s">
        <v>382</v>
      </c>
      <c r="D80" s="10">
        <v>45858.0</v>
      </c>
    </row>
    <row r="81">
      <c r="A81" s="1" t="s">
        <v>40</v>
      </c>
      <c r="B81" s="1">
        <v>3769.0</v>
      </c>
      <c r="C81" s="1" t="s">
        <v>383</v>
      </c>
      <c r="D81" s="10">
        <v>45858.0</v>
      </c>
    </row>
    <row r="82">
      <c r="A82" s="1" t="s">
        <v>51</v>
      </c>
      <c r="B82" s="1">
        <v>230.33</v>
      </c>
      <c r="C82" s="1" t="s">
        <v>384</v>
      </c>
      <c r="D82" s="10">
        <v>45857.0</v>
      </c>
    </row>
    <row r="83">
      <c r="A83" s="1" t="s">
        <v>324</v>
      </c>
      <c r="B83" s="1">
        <v>160.0</v>
      </c>
      <c r="C83" s="1" t="s">
        <v>385</v>
      </c>
      <c r="D83" s="10">
        <v>45855.0</v>
      </c>
    </row>
    <row r="84">
      <c r="A84" s="1" t="s">
        <v>47</v>
      </c>
      <c r="B84" s="1">
        <v>2194.0</v>
      </c>
      <c r="C84" s="1" t="s">
        <v>386</v>
      </c>
      <c r="D84" s="10">
        <v>45854.0</v>
      </c>
    </row>
    <row r="85">
      <c r="A85" s="1" t="s">
        <v>56</v>
      </c>
      <c r="B85" s="1">
        <v>132.9</v>
      </c>
      <c r="C85" s="1" t="s">
        <v>387</v>
      </c>
      <c r="D85" s="10">
        <v>45854.0</v>
      </c>
    </row>
    <row r="86">
      <c r="A86" s="1" t="s">
        <v>58</v>
      </c>
      <c r="B86" s="1">
        <v>82.29</v>
      </c>
      <c r="C86" s="1" t="s">
        <v>388</v>
      </c>
      <c r="D86" s="10">
        <v>45851.0</v>
      </c>
    </row>
    <row r="87">
      <c r="A87" s="1" t="s">
        <v>58</v>
      </c>
      <c r="B87" s="1">
        <v>247.24</v>
      </c>
      <c r="C87" s="1" t="s">
        <v>389</v>
      </c>
      <c r="D87" s="10">
        <v>45851.0</v>
      </c>
    </row>
    <row r="88">
      <c r="A88" s="1" t="s">
        <v>40</v>
      </c>
      <c r="B88" s="1">
        <v>12.0</v>
      </c>
      <c r="C88" s="1" t="s">
        <v>390</v>
      </c>
      <c r="D88" s="10">
        <v>45851.0</v>
      </c>
    </row>
    <row r="89">
      <c r="A89" s="1" t="s">
        <v>37</v>
      </c>
      <c r="B89" s="1">
        <v>92.0</v>
      </c>
      <c r="C89" s="1" t="s">
        <v>391</v>
      </c>
      <c r="D89" s="10">
        <v>45851.0</v>
      </c>
    </row>
    <row r="90">
      <c r="A90" s="1" t="s">
        <v>56</v>
      </c>
      <c r="B90" s="1">
        <v>50.0</v>
      </c>
      <c r="C90" s="1" t="s">
        <v>392</v>
      </c>
      <c r="D90" s="10">
        <v>45850.0</v>
      </c>
    </row>
    <row r="91">
      <c r="A91" s="1" t="s">
        <v>47</v>
      </c>
      <c r="B91" s="1">
        <v>230.0</v>
      </c>
      <c r="C91" s="1" t="s">
        <v>393</v>
      </c>
      <c r="D91" s="10">
        <v>45848.0</v>
      </c>
    </row>
    <row r="92">
      <c r="A92" s="1" t="s">
        <v>201</v>
      </c>
      <c r="B92" s="1">
        <v>3213.25</v>
      </c>
      <c r="C92" s="1" t="s">
        <v>394</v>
      </c>
      <c r="D92" s="10">
        <v>45848.0</v>
      </c>
    </row>
    <row r="93">
      <c r="A93" s="1" t="s">
        <v>47</v>
      </c>
      <c r="B93" s="1">
        <v>2286.78</v>
      </c>
      <c r="C93" s="1" t="s">
        <v>395</v>
      </c>
      <c r="D93" s="10">
        <v>45841.0</v>
      </c>
    </row>
    <row r="94">
      <c r="A94" s="5" t="s">
        <v>58</v>
      </c>
      <c r="B94" s="5">
        <v>381.0</v>
      </c>
      <c r="C94" s="5" t="s">
        <v>396</v>
      </c>
      <c r="D94" s="11">
        <v>45873.899629328705</v>
      </c>
    </row>
    <row r="95">
      <c r="A95" s="5"/>
      <c r="B95" s="5"/>
      <c r="C95" s="5"/>
      <c r="D95" s="11"/>
    </row>
    <row r="96">
      <c r="A96" s="14" t="s">
        <v>36</v>
      </c>
      <c r="B96" s="15">
        <v>47.0</v>
      </c>
      <c r="C96" s="14" t="s">
        <v>397</v>
      </c>
      <c r="D96" s="16">
        <v>45869.0</v>
      </c>
    </row>
    <row r="97">
      <c r="A97" s="14" t="s">
        <v>36</v>
      </c>
      <c r="B97" s="15">
        <v>4.5</v>
      </c>
      <c r="C97" s="14" t="s">
        <v>398</v>
      </c>
      <c r="D97" s="16">
        <v>45869.0</v>
      </c>
    </row>
    <row r="98">
      <c r="A98" s="14" t="s">
        <v>41</v>
      </c>
      <c r="B98" s="15">
        <v>8.5</v>
      </c>
      <c r="C98" s="14" t="s">
        <v>399</v>
      </c>
      <c r="D98" s="16">
        <v>45868.0</v>
      </c>
    </row>
    <row r="99">
      <c r="A99" s="14" t="s">
        <v>73</v>
      </c>
      <c r="B99" s="15">
        <v>250.0</v>
      </c>
      <c r="C99" s="14" t="s">
        <v>400</v>
      </c>
      <c r="D99" s="16">
        <v>45868.0</v>
      </c>
    </row>
    <row r="100">
      <c r="A100" s="14" t="s">
        <v>62</v>
      </c>
      <c r="B100" s="15">
        <v>22.0</v>
      </c>
      <c r="C100" s="14" t="s">
        <v>401</v>
      </c>
      <c r="D100" s="16">
        <v>45868.0</v>
      </c>
    </row>
    <row r="101">
      <c r="A101" s="14" t="s">
        <v>37</v>
      </c>
      <c r="B101" s="15">
        <v>4.0</v>
      </c>
      <c r="C101" s="14" t="s">
        <v>402</v>
      </c>
      <c r="D101" s="16">
        <v>45866.0</v>
      </c>
    </row>
    <row r="102">
      <c r="A102" s="14" t="s">
        <v>37</v>
      </c>
      <c r="B102" s="15">
        <v>4.0</v>
      </c>
      <c r="C102" s="14" t="s">
        <v>403</v>
      </c>
      <c r="D102" s="16">
        <v>45866.0</v>
      </c>
    </row>
    <row r="103">
      <c r="A103" s="14" t="s">
        <v>62</v>
      </c>
      <c r="B103" s="15">
        <v>64.82</v>
      </c>
      <c r="C103" s="14" t="s">
        <v>404</v>
      </c>
      <c r="D103" s="16">
        <v>45866.0</v>
      </c>
    </row>
    <row r="104">
      <c r="A104" s="14" t="s">
        <v>36</v>
      </c>
      <c r="B104" s="15">
        <v>35.08</v>
      </c>
      <c r="C104" s="14" t="s">
        <v>303</v>
      </c>
      <c r="D104" s="16">
        <v>45865.0</v>
      </c>
    </row>
    <row r="105">
      <c r="A105" s="14" t="s">
        <v>36</v>
      </c>
      <c r="B105" s="15">
        <v>4.5</v>
      </c>
      <c r="C105" s="14" t="s">
        <v>304</v>
      </c>
      <c r="D105" s="16">
        <v>45865.0</v>
      </c>
    </row>
    <row r="106">
      <c r="A106" s="5"/>
      <c r="B106" s="5"/>
      <c r="C106" s="5"/>
      <c r="D106" s="10"/>
    </row>
    <row r="107">
      <c r="A107" s="5"/>
      <c r="B107" s="5"/>
      <c r="C107" s="5"/>
      <c r="D107" s="10"/>
    </row>
    <row r="108">
      <c r="A108" s="5"/>
      <c r="B108" s="5"/>
      <c r="C108" s="5"/>
      <c r="D108" s="10"/>
    </row>
    <row r="109">
      <c r="A109" s="5"/>
      <c r="B109" s="5"/>
      <c r="C109" s="5"/>
      <c r="D109" s="10"/>
    </row>
    <row r="110">
      <c r="A110" s="5"/>
      <c r="B110" s="5"/>
      <c r="C110" s="5"/>
      <c r="D110" s="10"/>
    </row>
    <row r="111">
      <c r="A111" s="5"/>
      <c r="B111" s="5"/>
      <c r="C111" s="5"/>
      <c r="D111" s="10"/>
    </row>
    <row r="112">
      <c r="A112" s="5"/>
      <c r="B112" s="5"/>
      <c r="C112" s="5"/>
      <c r="D112" s="10"/>
    </row>
    <row r="113">
      <c r="A113" s="5"/>
      <c r="B113" s="5"/>
      <c r="C113" s="5"/>
      <c r="D113" s="10"/>
    </row>
    <row r="114">
      <c r="A114" s="5"/>
      <c r="B114" s="5"/>
      <c r="C114" s="5"/>
      <c r="D114" s="10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5">
        <sortState ref="A2:D105">
          <sortCondition ref="D2:D105"/>
          <sortCondition ref="B2:B105"/>
        </sortState>
      </autoFilter>
    </customSheetView>
  </customSheetViews>
  <mergeCells count="2">
    <mergeCell ref="A1:B1"/>
    <mergeCell ref="E1:F1"/>
  </mergeCells>
  <conditionalFormatting sqref="D94:D107">
    <cfRule type="notContainsBlanks" dxfId="0" priority="1">
      <formula>LEN(TRIM(D94))&gt;0</formula>
    </cfRule>
  </conditionalFormatting>
  <dataValidations>
    <dataValidation type="list" allowBlank="1" sqref="A94:A107">
      <formula1>kategorie!$A$1:$A$50</formula1>
    </dataValidation>
  </dataValidation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0.7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15940.71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A3" s="5" t="s">
        <v>58</v>
      </c>
      <c r="B3" s="17">
        <v>5.0</v>
      </c>
      <c r="C3" s="5" t="s">
        <v>405</v>
      </c>
      <c r="D3" s="10">
        <v>45838.0</v>
      </c>
      <c r="E3" s="1" t="s">
        <v>34</v>
      </c>
      <c r="F3" s="8">
        <v>35649.0</v>
      </c>
      <c r="H3" s="2">
        <f>Zbiorczy!D60</f>
        <v>151881.83</v>
      </c>
      <c r="J3" s="3">
        <f t="shared" ref="J3:J7" si="1">SUMIF($A$3:A$197, K3, B$3:B$197)</f>
        <v>3213.25</v>
      </c>
      <c r="K3" s="1" t="s">
        <v>35</v>
      </c>
      <c r="M3" s="3">
        <f t="shared" ref="M3:M9" si="2">SUMIF($A$3:A$197, N3, B$3:B$197)</f>
        <v>978.15</v>
      </c>
      <c r="N3" s="1" t="s">
        <v>36</v>
      </c>
    </row>
    <row r="4">
      <c r="A4" s="5" t="s">
        <v>36</v>
      </c>
      <c r="B4" s="18">
        <v>6.0</v>
      </c>
      <c r="C4" s="5" t="s">
        <v>406</v>
      </c>
      <c r="D4" s="10">
        <v>45838.0</v>
      </c>
      <c r="E4" s="1" t="s">
        <v>39</v>
      </c>
      <c r="J4" s="3">
        <f t="shared" si="1"/>
        <v>3893</v>
      </c>
      <c r="K4" s="1" t="s">
        <v>40</v>
      </c>
      <c r="M4" s="3">
        <f t="shared" si="2"/>
        <v>79.66</v>
      </c>
      <c r="N4" s="1" t="s">
        <v>41</v>
      </c>
    </row>
    <row r="5">
      <c r="A5" s="5" t="s">
        <v>36</v>
      </c>
      <c r="B5" s="17">
        <v>91.09</v>
      </c>
      <c r="C5" s="5" t="s">
        <v>407</v>
      </c>
      <c r="D5" s="10">
        <v>45838.0</v>
      </c>
      <c r="E5" s="1" t="s">
        <v>45</v>
      </c>
      <c r="J5" s="3">
        <f t="shared" si="1"/>
        <v>6306</v>
      </c>
      <c r="K5" s="1" t="s">
        <v>46</v>
      </c>
      <c r="M5" s="3">
        <f t="shared" si="2"/>
        <v>2422.49</v>
      </c>
      <c r="N5" s="1" t="s">
        <v>47</v>
      </c>
    </row>
    <row r="6">
      <c r="A6" s="5" t="s">
        <v>36</v>
      </c>
      <c r="B6" s="17">
        <v>41.31</v>
      </c>
      <c r="C6" s="5" t="s">
        <v>408</v>
      </c>
      <c r="D6" s="10">
        <v>45838.0</v>
      </c>
      <c r="J6" s="3">
        <f t="shared" si="1"/>
        <v>2528.46</v>
      </c>
      <c r="K6" s="1" t="s">
        <v>50</v>
      </c>
      <c r="M6" s="3">
        <f t="shared" si="2"/>
        <v>839.82</v>
      </c>
      <c r="N6" s="1" t="s">
        <v>51</v>
      </c>
    </row>
    <row r="7">
      <c r="A7" s="5" t="s">
        <v>62</v>
      </c>
      <c r="B7" s="17">
        <v>70.0</v>
      </c>
      <c r="C7" s="5" t="s">
        <v>409</v>
      </c>
      <c r="D7" s="10">
        <v>45837.0</v>
      </c>
      <c r="J7" s="3">
        <f t="shared" si="1"/>
        <v>0</v>
      </c>
      <c r="K7" s="1" t="s">
        <v>55</v>
      </c>
      <c r="M7" s="3">
        <f t="shared" si="2"/>
        <v>2389.14</v>
      </c>
      <c r="N7" s="1" t="s">
        <v>56</v>
      </c>
    </row>
    <row r="8">
      <c r="A8" s="5" t="s">
        <v>62</v>
      </c>
      <c r="B8" s="17">
        <v>19.0</v>
      </c>
      <c r="C8" s="5" t="s">
        <v>410</v>
      </c>
      <c r="D8" s="10">
        <v>45837.0</v>
      </c>
      <c r="M8" s="3">
        <f t="shared" si="2"/>
        <v>2422.49</v>
      </c>
      <c r="N8" s="1" t="s">
        <v>47</v>
      </c>
    </row>
    <row r="9">
      <c r="A9" s="5" t="s">
        <v>37</v>
      </c>
      <c r="B9" s="17">
        <v>149.0</v>
      </c>
      <c r="C9" s="5" t="s">
        <v>411</v>
      </c>
      <c r="D9" s="10">
        <v>45837.0</v>
      </c>
      <c r="M9" s="3">
        <f t="shared" si="2"/>
        <v>1009.29</v>
      </c>
      <c r="N9" s="1" t="s">
        <v>62</v>
      </c>
    </row>
    <row r="10">
      <c r="A10" s="5" t="s">
        <v>41</v>
      </c>
      <c r="B10" s="19">
        <v>4.5</v>
      </c>
      <c r="C10" s="5" t="s">
        <v>412</v>
      </c>
      <c r="D10" s="10">
        <v>45837.0</v>
      </c>
    </row>
    <row r="11">
      <c r="A11" s="5" t="s">
        <v>42</v>
      </c>
      <c r="B11" s="19">
        <v>20.0</v>
      </c>
      <c r="C11" s="5" t="s">
        <v>413</v>
      </c>
      <c r="D11" s="10">
        <v>45837.0</v>
      </c>
    </row>
    <row r="12">
      <c r="A12" s="5" t="s">
        <v>56</v>
      </c>
      <c r="B12" s="19">
        <v>170.0</v>
      </c>
      <c r="C12" s="5" t="s">
        <v>414</v>
      </c>
      <c r="D12" s="10">
        <v>45837.0</v>
      </c>
    </row>
    <row r="13">
      <c r="A13" s="5" t="s">
        <v>62</v>
      </c>
      <c r="B13" s="19">
        <v>24.3</v>
      </c>
      <c r="C13" s="5" t="s">
        <v>415</v>
      </c>
      <c r="D13" s="10">
        <v>45837.0</v>
      </c>
    </row>
    <row r="14">
      <c r="A14" s="5" t="s">
        <v>37</v>
      </c>
      <c r="B14" s="19">
        <v>149.0</v>
      </c>
      <c r="C14" s="5" t="s">
        <v>416</v>
      </c>
      <c r="D14" s="10">
        <v>45837.0</v>
      </c>
    </row>
    <row r="15">
      <c r="A15" s="5" t="s">
        <v>41</v>
      </c>
      <c r="B15" s="17">
        <v>17.49</v>
      </c>
      <c r="C15" s="5" t="s">
        <v>417</v>
      </c>
      <c r="D15" s="10">
        <v>45837.0</v>
      </c>
    </row>
    <row r="16">
      <c r="A16" s="5" t="s">
        <v>62</v>
      </c>
      <c r="B16" s="17">
        <v>48.0</v>
      </c>
      <c r="C16" s="5" t="s">
        <v>418</v>
      </c>
      <c r="D16" s="10">
        <v>45837.0</v>
      </c>
    </row>
    <row r="17">
      <c r="A17" s="5" t="s">
        <v>42</v>
      </c>
      <c r="B17" s="17">
        <v>50.0</v>
      </c>
      <c r="C17" s="5" t="s">
        <v>419</v>
      </c>
      <c r="D17" s="10">
        <v>45837.0</v>
      </c>
    </row>
    <row r="18">
      <c r="A18" s="5" t="s">
        <v>148</v>
      </c>
      <c r="B18" s="20">
        <v>50.49</v>
      </c>
      <c r="C18" s="5" t="s">
        <v>420</v>
      </c>
      <c r="D18" s="10">
        <v>45836.0</v>
      </c>
    </row>
    <row r="19">
      <c r="A19" s="5" t="s">
        <v>41</v>
      </c>
      <c r="B19" s="20">
        <v>9.99</v>
      </c>
      <c r="C19" s="5" t="s">
        <v>421</v>
      </c>
      <c r="D19" s="10">
        <v>45836.0</v>
      </c>
    </row>
    <row r="20">
      <c r="A20" s="5" t="s">
        <v>62</v>
      </c>
      <c r="B20" s="17">
        <v>32.0</v>
      </c>
      <c r="C20" s="5" t="s">
        <v>422</v>
      </c>
      <c r="D20" s="10">
        <v>45836.0</v>
      </c>
    </row>
    <row r="21">
      <c r="A21" s="5" t="s">
        <v>36</v>
      </c>
      <c r="B21" s="19">
        <v>25.28</v>
      </c>
      <c r="C21" s="5" t="s">
        <v>423</v>
      </c>
      <c r="D21" s="10">
        <v>45835.0</v>
      </c>
      <c r="E21" s="11"/>
      <c r="F21" s="11"/>
      <c r="G21" s="11"/>
    </row>
    <row r="22">
      <c r="A22" s="5" t="s">
        <v>56</v>
      </c>
      <c r="B22" s="17">
        <v>45.0</v>
      </c>
      <c r="C22" s="5" t="s">
        <v>424</v>
      </c>
      <c r="D22" s="10">
        <v>45835.0</v>
      </c>
    </row>
    <row r="23">
      <c r="A23" s="5" t="s">
        <v>36</v>
      </c>
      <c r="B23" s="21">
        <v>25.97</v>
      </c>
      <c r="C23" s="5" t="s">
        <v>425</v>
      </c>
      <c r="D23" s="10">
        <v>45834.0</v>
      </c>
    </row>
    <row r="24">
      <c r="A24" s="5" t="s">
        <v>36</v>
      </c>
      <c r="B24" s="17">
        <v>23.8</v>
      </c>
      <c r="C24" s="5" t="s">
        <v>426</v>
      </c>
      <c r="D24" s="10">
        <v>45833.0</v>
      </c>
    </row>
    <row r="25">
      <c r="A25" s="5" t="s">
        <v>148</v>
      </c>
      <c r="B25" s="17">
        <v>338.55</v>
      </c>
      <c r="C25" s="5" t="s">
        <v>427</v>
      </c>
      <c r="D25" s="10">
        <v>45833.0</v>
      </c>
    </row>
    <row r="26">
      <c r="A26" s="5" t="s">
        <v>73</v>
      </c>
      <c r="B26" s="17">
        <v>250.0</v>
      </c>
      <c r="C26" s="5" t="s">
        <v>428</v>
      </c>
      <c r="D26" s="10">
        <v>45833.0</v>
      </c>
    </row>
    <row r="27">
      <c r="A27" s="5" t="s">
        <v>73</v>
      </c>
      <c r="B27" s="17">
        <v>280.0</v>
      </c>
      <c r="C27" s="5" t="s">
        <v>429</v>
      </c>
      <c r="D27" s="10">
        <v>45833.0</v>
      </c>
    </row>
    <row r="28">
      <c r="A28" s="5" t="s">
        <v>47</v>
      </c>
      <c r="B28" s="17">
        <v>5.0</v>
      </c>
      <c r="C28" s="5" t="s">
        <v>430</v>
      </c>
      <c r="D28" s="10">
        <v>45832.0</v>
      </c>
    </row>
    <row r="29">
      <c r="A29" s="5" t="s">
        <v>47</v>
      </c>
      <c r="B29" s="17">
        <v>2.0</v>
      </c>
      <c r="C29" s="5" t="s">
        <v>431</v>
      </c>
      <c r="D29" s="10">
        <v>45832.0</v>
      </c>
    </row>
    <row r="30">
      <c r="A30" s="5" t="s">
        <v>47</v>
      </c>
      <c r="B30" s="17">
        <v>2.0</v>
      </c>
      <c r="C30" s="5" t="s">
        <v>432</v>
      </c>
      <c r="D30" s="10">
        <v>45832.0</v>
      </c>
    </row>
    <row r="31">
      <c r="A31" s="5" t="s">
        <v>47</v>
      </c>
      <c r="B31" s="17">
        <v>5.0</v>
      </c>
      <c r="C31" s="5" t="s">
        <v>433</v>
      </c>
      <c r="D31" s="10">
        <v>45832.0</v>
      </c>
    </row>
    <row r="32">
      <c r="A32" s="5" t="s">
        <v>58</v>
      </c>
      <c r="B32" s="17">
        <v>5.0</v>
      </c>
      <c r="C32" s="5" t="s">
        <v>434</v>
      </c>
      <c r="D32" s="10">
        <v>45831.0</v>
      </c>
    </row>
    <row r="33">
      <c r="A33" s="5" t="s">
        <v>36</v>
      </c>
      <c r="B33" s="17">
        <v>54.45</v>
      </c>
      <c r="C33" s="5" t="s">
        <v>435</v>
      </c>
      <c r="D33" s="10">
        <v>45831.0</v>
      </c>
    </row>
    <row r="34">
      <c r="A34" s="5" t="s">
        <v>47</v>
      </c>
      <c r="B34" s="17">
        <v>4.0</v>
      </c>
      <c r="C34" s="5" t="s">
        <v>436</v>
      </c>
      <c r="D34" s="10">
        <v>45831.0</v>
      </c>
    </row>
    <row r="35">
      <c r="A35" s="5" t="s">
        <v>47</v>
      </c>
      <c r="B35" s="17">
        <v>4.0</v>
      </c>
      <c r="C35" s="5" t="s">
        <v>437</v>
      </c>
      <c r="D35" s="10">
        <v>45831.0</v>
      </c>
    </row>
    <row r="36">
      <c r="A36" s="5" t="s">
        <v>62</v>
      </c>
      <c r="B36" s="17">
        <v>115.0</v>
      </c>
      <c r="C36" s="5" t="s">
        <v>438</v>
      </c>
      <c r="D36" s="10">
        <v>45830.0</v>
      </c>
    </row>
    <row r="37">
      <c r="A37" s="5" t="s">
        <v>50</v>
      </c>
      <c r="B37" s="17">
        <v>149.56</v>
      </c>
      <c r="C37" s="5" t="s">
        <v>439</v>
      </c>
      <c r="D37" s="10">
        <v>45830.0</v>
      </c>
    </row>
    <row r="38">
      <c r="A38" s="5" t="s">
        <v>36</v>
      </c>
      <c r="B38" s="17">
        <v>49.77</v>
      </c>
      <c r="C38" s="5" t="s">
        <v>440</v>
      </c>
      <c r="D38" s="10">
        <v>45830.0</v>
      </c>
    </row>
    <row r="39">
      <c r="A39" s="5" t="s">
        <v>56</v>
      </c>
      <c r="B39" s="17">
        <v>65.0</v>
      </c>
      <c r="C39" s="5" t="s">
        <v>441</v>
      </c>
      <c r="D39" s="10">
        <v>45830.0</v>
      </c>
    </row>
    <row r="40">
      <c r="A40" s="5" t="s">
        <v>47</v>
      </c>
      <c r="B40" s="17">
        <v>5.0</v>
      </c>
      <c r="C40" s="5" t="s">
        <v>442</v>
      </c>
      <c r="D40" s="10">
        <v>45830.0</v>
      </c>
    </row>
    <row r="41">
      <c r="A41" s="5" t="s">
        <v>47</v>
      </c>
      <c r="B41" s="17">
        <v>2.0</v>
      </c>
      <c r="C41" s="5" t="s">
        <v>443</v>
      </c>
      <c r="D41" s="10">
        <v>45830.0</v>
      </c>
    </row>
    <row r="42">
      <c r="A42" s="5" t="s">
        <v>62</v>
      </c>
      <c r="B42" s="17">
        <v>24.99</v>
      </c>
      <c r="C42" s="5" t="s">
        <v>444</v>
      </c>
      <c r="D42" s="10">
        <v>45829.0</v>
      </c>
    </row>
    <row r="43">
      <c r="A43" s="5" t="s">
        <v>47</v>
      </c>
      <c r="B43" s="17">
        <v>27.22</v>
      </c>
      <c r="C43" s="5" t="s">
        <v>445</v>
      </c>
      <c r="D43" s="10">
        <v>45827.0</v>
      </c>
    </row>
    <row r="44">
      <c r="A44" s="5" t="s">
        <v>36</v>
      </c>
      <c r="B44" s="17">
        <v>32.0</v>
      </c>
      <c r="C44" s="5" t="s">
        <v>446</v>
      </c>
      <c r="D44" s="10">
        <v>45827.0</v>
      </c>
    </row>
    <row r="45">
      <c r="A45" s="5" t="s">
        <v>58</v>
      </c>
      <c r="B45" s="5">
        <v>14.99</v>
      </c>
      <c r="C45" s="5" t="s">
        <v>447</v>
      </c>
      <c r="D45" s="10">
        <v>45826.0</v>
      </c>
    </row>
    <row r="46">
      <c r="A46" s="5" t="s">
        <v>56</v>
      </c>
      <c r="B46" s="5">
        <v>53.55</v>
      </c>
      <c r="C46" s="5" t="s">
        <v>448</v>
      </c>
      <c r="D46" s="10">
        <v>45826.0</v>
      </c>
    </row>
    <row r="47">
      <c r="A47" s="5" t="s">
        <v>62</v>
      </c>
      <c r="B47" s="5">
        <v>44.0</v>
      </c>
      <c r="C47" s="5" t="s">
        <v>449</v>
      </c>
      <c r="D47" s="10">
        <v>45826.0</v>
      </c>
    </row>
    <row r="48">
      <c r="A48" s="5" t="s">
        <v>73</v>
      </c>
      <c r="B48" s="5">
        <v>250.0</v>
      </c>
      <c r="C48" s="5" t="s">
        <v>450</v>
      </c>
      <c r="D48" s="10">
        <v>45826.0</v>
      </c>
    </row>
    <row r="49">
      <c r="A49" s="5" t="s">
        <v>50</v>
      </c>
      <c r="B49" s="5">
        <v>109.99</v>
      </c>
      <c r="C49" s="5" t="s">
        <v>451</v>
      </c>
      <c r="D49" s="10">
        <v>45825.0</v>
      </c>
    </row>
    <row r="50">
      <c r="A50" s="5" t="s">
        <v>42</v>
      </c>
      <c r="B50" s="5">
        <v>24.9</v>
      </c>
      <c r="C50" s="5" t="s">
        <v>452</v>
      </c>
      <c r="D50" s="10">
        <v>45825.0</v>
      </c>
    </row>
    <row r="51">
      <c r="A51" s="5" t="s">
        <v>50</v>
      </c>
      <c r="B51" s="5">
        <v>103.5</v>
      </c>
      <c r="C51" s="5" t="s">
        <v>453</v>
      </c>
      <c r="D51" s="10">
        <v>45824.0</v>
      </c>
    </row>
    <row r="52">
      <c r="A52" s="5" t="s">
        <v>50</v>
      </c>
      <c r="B52" s="5">
        <v>268.43</v>
      </c>
      <c r="C52" s="5" t="s">
        <v>454</v>
      </c>
      <c r="D52" s="10">
        <v>45824.0</v>
      </c>
    </row>
    <row r="53">
      <c r="A53" s="5" t="s">
        <v>47</v>
      </c>
      <c r="B53" s="5">
        <v>4.0</v>
      </c>
      <c r="C53" s="5" t="s">
        <v>455</v>
      </c>
      <c r="D53" s="10">
        <v>45824.0</v>
      </c>
    </row>
    <row r="54">
      <c r="A54" s="5" t="s">
        <v>47</v>
      </c>
      <c r="B54" s="5">
        <v>4.0</v>
      </c>
      <c r="C54" s="5" t="s">
        <v>456</v>
      </c>
      <c r="D54" s="10">
        <v>45824.0</v>
      </c>
    </row>
    <row r="55">
      <c r="A55" s="5" t="s">
        <v>47</v>
      </c>
      <c r="B55" s="5">
        <v>4.0</v>
      </c>
      <c r="C55" s="5" t="s">
        <v>457</v>
      </c>
      <c r="D55" s="10">
        <v>45824.0</v>
      </c>
    </row>
    <row r="56">
      <c r="A56" s="5" t="s">
        <v>47</v>
      </c>
      <c r="B56" s="5">
        <v>4.0</v>
      </c>
      <c r="C56" s="5" t="s">
        <v>458</v>
      </c>
      <c r="D56" s="10">
        <v>45824.0</v>
      </c>
    </row>
    <row r="57">
      <c r="A57" s="5" t="s">
        <v>47</v>
      </c>
      <c r="B57" s="5">
        <v>4.0</v>
      </c>
      <c r="C57" s="5" t="s">
        <v>459</v>
      </c>
      <c r="D57" s="10">
        <v>45824.0</v>
      </c>
    </row>
    <row r="58">
      <c r="A58" s="5" t="s">
        <v>47</v>
      </c>
      <c r="B58" s="5">
        <v>4.0</v>
      </c>
      <c r="C58" s="5" t="s">
        <v>460</v>
      </c>
      <c r="D58" s="10">
        <v>45824.0</v>
      </c>
    </row>
    <row r="59">
      <c r="A59" s="5" t="s">
        <v>42</v>
      </c>
      <c r="B59" s="5">
        <v>202.5</v>
      </c>
      <c r="C59" s="5" t="s">
        <v>461</v>
      </c>
      <c r="D59" s="10">
        <v>45824.0</v>
      </c>
    </row>
    <row r="60">
      <c r="A60" s="5" t="s">
        <v>47</v>
      </c>
      <c r="B60" s="5">
        <v>4.0</v>
      </c>
      <c r="C60" s="5" t="s">
        <v>462</v>
      </c>
      <c r="D60" s="10">
        <v>45824.0</v>
      </c>
    </row>
    <row r="61">
      <c r="A61" s="5" t="s">
        <v>56</v>
      </c>
      <c r="B61" s="5">
        <v>9.99</v>
      </c>
      <c r="C61" s="5" t="s">
        <v>463</v>
      </c>
      <c r="D61" s="10">
        <v>45823.0</v>
      </c>
    </row>
    <row r="62">
      <c r="A62" s="5" t="s">
        <v>62</v>
      </c>
      <c r="B62" s="5">
        <v>37.0</v>
      </c>
      <c r="C62" s="5" t="s">
        <v>464</v>
      </c>
      <c r="D62" s="10">
        <v>45822.0</v>
      </c>
    </row>
    <row r="63">
      <c r="A63" s="5" t="s">
        <v>41</v>
      </c>
      <c r="B63" s="5">
        <v>4.2</v>
      </c>
      <c r="C63" s="5" t="s">
        <v>465</v>
      </c>
      <c r="D63" s="10">
        <v>45821.0</v>
      </c>
    </row>
    <row r="64">
      <c r="A64" s="5" t="s">
        <v>41</v>
      </c>
      <c r="B64" s="5">
        <v>9.99</v>
      </c>
      <c r="C64" s="5" t="s">
        <v>466</v>
      </c>
      <c r="D64" s="10">
        <v>45821.0</v>
      </c>
    </row>
    <row r="65">
      <c r="A65" s="5" t="s">
        <v>42</v>
      </c>
      <c r="B65" s="5">
        <v>19.0</v>
      </c>
      <c r="C65" s="5" t="s">
        <v>467</v>
      </c>
      <c r="D65" s="10">
        <v>45821.0</v>
      </c>
    </row>
    <row r="66">
      <c r="A66" s="5" t="s">
        <v>62</v>
      </c>
      <c r="B66" s="5">
        <v>75.0</v>
      </c>
      <c r="C66" s="5" t="s">
        <v>468</v>
      </c>
      <c r="D66" s="10">
        <v>45821.0</v>
      </c>
    </row>
    <row r="67">
      <c r="A67" s="5" t="s">
        <v>62</v>
      </c>
      <c r="B67" s="5">
        <v>42.0</v>
      </c>
      <c r="C67" s="5" t="s">
        <v>469</v>
      </c>
      <c r="D67" s="10">
        <v>45821.0</v>
      </c>
    </row>
    <row r="68">
      <c r="A68" s="5" t="s">
        <v>56</v>
      </c>
      <c r="B68" s="5">
        <v>63.0</v>
      </c>
      <c r="C68" s="5" t="s">
        <v>470</v>
      </c>
      <c r="D68" s="10">
        <v>45821.0</v>
      </c>
    </row>
    <row r="69">
      <c r="A69" s="5" t="s">
        <v>36</v>
      </c>
      <c r="B69" s="5">
        <v>8.99</v>
      </c>
      <c r="C69" s="5" t="s">
        <v>471</v>
      </c>
      <c r="D69" s="10">
        <v>45820.0</v>
      </c>
    </row>
    <row r="70">
      <c r="A70" s="5" t="s">
        <v>73</v>
      </c>
      <c r="B70" s="5">
        <v>250.0</v>
      </c>
      <c r="C70" s="5" t="s">
        <v>472</v>
      </c>
      <c r="D70" s="10">
        <v>45819.0</v>
      </c>
    </row>
    <row r="71">
      <c r="A71" s="5" t="s">
        <v>36</v>
      </c>
      <c r="B71" s="5">
        <v>21.63</v>
      </c>
      <c r="C71" s="5" t="s">
        <v>473</v>
      </c>
      <c r="D71" s="10">
        <v>45819.0</v>
      </c>
    </row>
    <row r="72">
      <c r="A72" s="5" t="s">
        <v>56</v>
      </c>
      <c r="B72" s="5">
        <v>300.0</v>
      </c>
      <c r="C72" s="5" t="s">
        <v>474</v>
      </c>
      <c r="D72" s="10">
        <v>45819.0</v>
      </c>
    </row>
    <row r="73">
      <c r="A73" s="5" t="s">
        <v>56</v>
      </c>
      <c r="B73" s="5">
        <v>45.0</v>
      </c>
      <c r="C73" s="5" t="s">
        <v>475</v>
      </c>
      <c r="D73" s="10">
        <v>45817.0</v>
      </c>
    </row>
    <row r="74">
      <c r="A74" s="5" t="s">
        <v>62</v>
      </c>
      <c r="B74" s="5">
        <v>206.0</v>
      </c>
      <c r="C74" s="5" t="s">
        <v>476</v>
      </c>
      <c r="D74" s="10">
        <v>45817.0</v>
      </c>
    </row>
    <row r="75">
      <c r="A75" s="5" t="s">
        <v>36</v>
      </c>
      <c r="B75" s="5">
        <v>16.08</v>
      </c>
      <c r="C75" s="5" t="s">
        <v>477</v>
      </c>
      <c r="D75" s="10">
        <v>45817.0</v>
      </c>
    </row>
    <row r="76">
      <c r="A76" s="5" t="s">
        <v>41</v>
      </c>
      <c r="B76" s="5">
        <v>19.49</v>
      </c>
      <c r="C76" s="5" t="s">
        <v>478</v>
      </c>
      <c r="D76" s="10">
        <v>45815.0</v>
      </c>
    </row>
    <row r="77">
      <c r="A77" s="5" t="s">
        <v>56</v>
      </c>
      <c r="B77" s="5">
        <v>1100.0</v>
      </c>
      <c r="C77" s="5" t="s">
        <v>479</v>
      </c>
      <c r="D77" s="10">
        <v>45814.0</v>
      </c>
    </row>
    <row r="78">
      <c r="A78" s="5" t="s">
        <v>42</v>
      </c>
      <c r="B78" s="5">
        <v>19.0</v>
      </c>
      <c r="C78" s="5" t="s">
        <v>480</v>
      </c>
      <c r="D78" s="10">
        <v>45814.0</v>
      </c>
    </row>
    <row r="79">
      <c r="A79" s="5" t="s">
        <v>62</v>
      </c>
      <c r="B79" s="5">
        <v>42.0</v>
      </c>
      <c r="C79" s="5" t="s">
        <v>481</v>
      </c>
      <c r="D79" s="10">
        <v>45814.0</v>
      </c>
    </row>
    <row r="80">
      <c r="A80" s="5" t="s">
        <v>36</v>
      </c>
      <c r="B80" s="5">
        <v>12.99</v>
      </c>
      <c r="C80" s="5" t="s">
        <v>482</v>
      </c>
      <c r="D80" s="10">
        <v>45813.0</v>
      </c>
    </row>
    <row r="81">
      <c r="A81" s="5" t="s">
        <v>50</v>
      </c>
      <c r="B81" s="5">
        <v>133.98</v>
      </c>
      <c r="C81" s="5" t="s">
        <v>483</v>
      </c>
      <c r="D81" s="10">
        <v>45813.0</v>
      </c>
    </row>
    <row r="82">
      <c r="A82" s="5" t="s">
        <v>36</v>
      </c>
      <c r="B82" s="5">
        <v>158.12</v>
      </c>
      <c r="C82" s="5" t="s">
        <v>484</v>
      </c>
      <c r="D82" s="10">
        <v>45812.0</v>
      </c>
    </row>
    <row r="83">
      <c r="A83" s="5" t="s">
        <v>50</v>
      </c>
      <c r="B83" s="5">
        <v>363.0</v>
      </c>
      <c r="C83" s="5" t="s">
        <v>485</v>
      </c>
      <c r="D83" s="10">
        <v>45812.0</v>
      </c>
    </row>
    <row r="84">
      <c r="A84" s="5" t="s">
        <v>56</v>
      </c>
      <c r="B84" s="5">
        <v>350.0</v>
      </c>
      <c r="C84" s="5" t="s">
        <v>486</v>
      </c>
      <c r="D84" s="10">
        <v>45811.0</v>
      </c>
    </row>
    <row r="85">
      <c r="A85" s="5" t="s">
        <v>41</v>
      </c>
      <c r="B85" s="5">
        <v>14.0</v>
      </c>
      <c r="C85" s="5" t="s">
        <v>487</v>
      </c>
      <c r="D85" s="10">
        <v>45811.0</v>
      </c>
    </row>
    <row r="86">
      <c r="A86" s="5" t="s">
        <v>50</v>
      </c>
      <c r="B86" s="5">
        <v>1400.0</v>
      </c>
      <c r="C86" s="5" t="s">
        <v>488</v>
      </c>
      <c r="D86" s="10">
        <v>45811.0</v>
      </c>
    </row>
    <row r="87">
      <c r="A87" s="5" t="s">
        <v>37</v>
      </c>
      <c r="B87" s="5">
        <v>30.0</v>
      </c>
      <c r="C87" s="5" t="s">
        <v>489</v>
      </c>
      <c r="D87" s="10">
        <v>45810.0</v>
      </c>
    </row>
    <row r="88">
      <c r="A88" s="5" t="s">
        <v>37</v>
      </c>
      <c r="B88" s="5">
        <v>4.0</v>
      </c>
      <c r="C88" s="5" t="s">
        <v>490</v>
      </c>
      <c r="D88" s="10">
        <v>45810.0</v>
      </c>
    </row>
    <row r="89">
      <c r="A89" s="5" t="s">
        <v>36</v>
      </c>
      <c r="B89" s="5">
        <v>109.5</v>
      </c>
      <c r="C89" s="5" t="s">
        <v>491</v>
      </c>
      <c r="D89" s="10">
        <v>45810.0</v>
      </c>
    </row>
    <row r="90">
      <c r="A90" s="5" t="s">
        <v>42</v>
      </c>
      <c r="B90" s="5">
        <v>54.0</v>
      </c>
      <c r="C90" s="5" t="s">
        <v>492</v>
      </c>
      <c r="D90" s="10">
        <v>45810.0</v>
      </c>
    </row>
    <row r="91">
      <c r="A91" s="5" t="s">
        <v>47</v>
      </c>
      <c r="B91" s="5">
        <v>40.0</v>
      </c>
      <c r="C91" s="5" t="s">
        <v>493</v>
      </c>
      <c r="D91" s="10">
        <v>45810.0</v>
      </c>
    </row>
    <row r="92">
      <c r="A92" s="5" t="s">
        <v>56</v>
      </c>
      <c r="B92" s="5">
        <v>118.91</v>
      </c>
      <c r="C92" s="5" t="s">
        <v>494</v>
      </c>
      <c r="D92" s="10">
        <v>45810.0</v>
      </c>
    </row>
    <row r="93">
      <c r="A93" s="5" t="s">
        <v>36</v>
      </c>
      <c r="B93" s="5">
        <v>301.17</v>
      </c>
      <c r="C93" s="5" t="s">
        <v>495</v>
      </c>
      <c r="D93" s="10">
        <v>45810.0</v>
      </c>
    </row>
    <row r="94">
      <c r="A94" s="5" t="s">
        <v>42</v>
      </c>
      <c r="B94" s="5">
        <v>11.9</v>
      </c>
      <c r="C94" s="5" t="s">
        <v>496</v>
      </c>
      <c r="D94" s="10">
        <v>45810.0</v>
      </c>
    </row>
    <row r="95">
      <c r="A95" s="5" t="s">
        <v>37</v>
      </c>
      <c r="B95" s="5">
        <v>4.0</v>
      </c>
      <c r="C95" s="5" t="s">
        <v>497</v>
      </c>
      <c r="D95" s="10">
        <v>45810.0</v>
      </c>
    </row>
    <row r="96">
      <c r="A96" s="5" t="s">
        <v>62</v>
      </c>
      <c r="B96" s="5">
        <v>82.0</v>
      </c>
      <c r="C96" s="5" t="s">
        <v>498</v>
      </c>
      <c r="D96" s="10">
        <v>45809.0</v>
      </c>
    </row>
    <row r="97">
      <c r="A97" s="5" t="s">
        <v>42</v>
      </c>
      <c r="B97" s="5">
        <v>15.1</v>
      </c>
      <c r="C97" s="5" t="s">
        <v>499</v>
      </c>
      <c r="D97" s="10">
        <v>45809.0</v>
      </c>
    </row>
    <row r="98">
      <c r="A98" s="5" t="s">
        <v>42</v>
      </c>
      <c r="B98" s="5">
        <v>32.9</v>
      </c>
      <c r="C98" s="5" t="s">
        <v>500</v>
      </c>
      <c r="D98" s="10">
        <v>45809.0</v>
      </c>
    </row>
    <row r="99">
      <c r="A99" s="5" t="s">
        <v>58</v>
      </c>
      <c r="B99" s="5">
        <v>381.87</v>
      </c>
      <c r="C99" s="5" t="s">
        <v>501</v>
      </c>
      <c r="D99" s="10">
        <v>45838.0</v>
      </c>
    </row>
    <row r="100">
      <c r="A100" s="5" t="s">
        <v>51</v>
      </c>
      <c r="B100" s="5">
        <v>212.11</v>
      </c>
      <c r="C100" s="5" t="s">
        <v>502</v>
      </c>
      <c r="D100" s="10">
        <v>45837.0</v>
      </c>
    </row>
    <row r="101">
      <c r="A101" s="5" t="s">
        <v>51</v>
      </c>
      <c r="B101" s="5">
        <v>203.3</v>
      </c>
      <c r="C101" s="5" t="s">
        <v>503</v>
      </c>
      <c r="D101" s="10">
        <v>45837.0</v>
      </c>
    </row>
    <row r="102">
      <c r="A102" s="5" t="s">
        <v>58</v>
      </c>
      <c r="B102" s="5">
        <v>450.0</v>
      </c>
      <c r="C102" s="5" t="s">
        <v>504</v>
      </c>
      <c r="D102" s="10">
        <v>45835.0</v>
      </c>
    </row>
    <row r="103">
      <c r="A103" s="5" t="s">
        <v>62</v>
      </c>
      <c r="B103" s="5">
        <v>148.0</v>
      </c>
      <c r="C103" s="5" t="s">
        <v>505</v>
      </c>
      <c r="D103" s="10">
        <v>45834.0</v>
      </c>
    </row>
    <row r="104">
      <c r="A104" s="5" t="s">
        <v>51</v>
      </c>
      <c r="B104" s="5">
        <v>164.16</v>
      </c>
      <c r="C104" s="5" t="s">
        <v>506</v>
      </c>
      <c r="D104" s="10">
        <v>45829.0</v>
      </c>
    </row>
    <row r="105">
      <c r="A105" s="5" t="s">
        <v>51</v>
      </c>
      <c r="B105" s="5">
        <v>260.25</v>
      </c>
      <c r="C105" s="5" t="s">
        <v>507</v>
      </c>
      <c r="D105" s="10">
        <v>45827.0</v>
      </c>
    </row>
    <row r="106">
      <c r="A106" s="5" t="s">
        <v>201</v>
      </c>
      <c r="B106" s="5">
        <v>3213.25</v>
      </c>
      <c r="C106" s="5" t="s">
        <v>508</v>
      </c>
      <c r="D106" s="10">
        <v>45824.0</v>
      </c>
    </row>
    <row r="107">
      <c r="A107" s="5" t="s">
        <v>40</v>
      </c>
      <c r="B107" s="5">
        <v>12.0</v>
      </c>
      <c r="C107" s="5" t="s">
        <v>509</v>
      </c>
      <c r="D107" s="10">
        <v>45824.0</v>
      </c>
    </row>
    <row r="108">
      <c r="A108" s="5" t="s">
        <v>46</v>
      </c>
      <c r="B108" s="5">
        <v>6306.0</v>
      </c>
      <c r="C108" s="5" t="s">
        <v>510</v>
      </c>
      <c r="D108" s="10">
        <v>45824.0</v>
      </c>
    </row>
    <row r="109">
      <c r="A109" s="5" t="s">
        <v>40</v>
      </c>
      <c r="B109" s="5">
        <v>3881.0</v>
      </c>
      <c r="C109" s="5" t="s">
        <v>511</v>
      </c>
      <c r="D109" s="10">
        <v>45824.0</v>
      </c>
    </row>
    <row r="110">
      <c r="A110" s="5" t="s">
        <v>56</v>
      </c>
      <c r="B110" s="5">
        <v>68.69</v>
      </c>
      <c r="C110" s="5" t="s">
        <v>512</v>
      </c>
      <c r="D110" s="10">
        <v>45814.0</v>
      </c>
    </row>
    <row r="111">
      <c r="A111" s="5" t="s">
        <v>47</v>
      </c>
      <c r="B111" s="5">
        <v>2298.27</v>
      </c>
      <c r="C111" s="5" t="s">
        <v>513</v>
      </c>
      <c r="D111" s="10">
        <v>45812.0</v>
      </c>
    </row>
    <row r="112">
      <c r="A112" s="5" t="s">
        <v>58</v>
      </c>
      <c r="B112" s="5">
        <v>82.29</v>
      </c>
      <c r="C112" s="5" t="s">
        <v>514</v>
      </c>
      <c r="D112" s="10">
        <v>45812.0</v>
      </c>
    </row>
    <row r="113">
      <c r="A113" s="5" t="s">
        <v>58</v>
      </c>
      <c r="B113" s="5">
        <v>246.0</v>
      </c>
      <c r="C113" s="5" t="s">
        <v>515</v>
      </c>
      <c r="D113" s="10">
        <v>45812.0</v>
      </c>
    </row>
    <row r="114">
      <c r="A114" s="5" t="s">
        <v>58</v>
      </c>
      <c r="B114" s="5">
        <v>381.87</v>
      </c>
      <c r="C114" s="5" t="s">
        <v>516</v>
      </c>
      <c r="D114" s="10">
        <v>45811.0</v>
      </c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84">
        <sortState ref="A2:D84">
          <sortCondition ref="D2:D84"/>
          <sortCondition ref="B2:B84"/>
        </sortState>
      </autoFilter>
    </customSheetView>
  </customSheetViews>
  <mergeCells count="2">
    <mergeCell ref="A1:B1"/>
    <mergeCell ref="E1:F1"/>
  </mergeCells>
  <conditionalFormatting sqref="D3:D102">
    <cfRule type="notContainsBlanks" dxfId="0" priority="1">
      <formula>LEN(TRIM(D3))&gt;0</formula>
    </cfRule>
  </conditionalFormatting>
  <dataValidations>
    <dataValidation type="list" allowBlank="1" sqref="A3:A95">
      <formula1>kategorie!$A$1:$A$50</formula1>
    </dataValidation>
    <dataValidation type="custom" allowBlank="1" showDropDown="1" sqref="D3:D78">
      <formula1>OR(NOT(ISERROR(DATEVALUE(D3))), AND(ISNUMBER(D3), LEFT(CELL("format", D3))="D"))</formula1>
    </dataValidation>
  </dataValidation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20.7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SUM(J3:J991)</f>
        <v>10785.17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A3" s="5" t="s">
        <v>73</v>
      </c>
      <c r="B3" s="17">
        <v>1560.0</v>
      </c>
      <c r="C3" s="5" t="s">
        <v>517</v>
      </c>
      <c r="D3" s="10">
        <v>45808.0</v>
      </c>
      <c r="E3" s="1" t="s">
        <v>34</v>
      </c>
      <c r="F3" s="8" t="s">
        <v>518</v>
      </c>
      <c r="H3" s="2">
        <f>Zbiorczy!D59</f>
        <v>140997.94</v>
      </c>
      <c r="J3" s="3">
        <f t="shared" ref="J3:J7" si="1">SUMIF($A$3:A$197, K3, B$3:B$197)</f>
        <v>3213.27</v>
      </c>
      <c r="K3" s="1" t="s">
        <v>35</v>
      </c>
      <c r="M3" s="3">
        <f t="shared" ref="M3:M8" si="2">SUMIF($A$3:A$197, N3, B$3:B$197)</f>
        <v>558.16</v>
      </c>
      <c r="N3" s="1" t="s">
        <v>36</v>
      </c>
    </row>
    <row r="4">
      <c r="A4" s="5" t="s">
        <v>47</v>
      </c>
      <c r="B4" s="17">
        <v>3.5</v>
      </c>
      <c r="C4" s="5" t="s">
        <v>519</v>
      </c>
      <c r="D4" s="10">
        <v>45808.0</v>
      </c>
      <c r="E4" s="1" t="s">
        <v>39</v>
      </c>
      <c r="F4" s="1">
        <v>34640.0</v>
      </c>
      <c r="J4" s="3">
        <f t="shared" si="1"/>
        <v>2456</v>
      </c>
      <c r="K4" s="1" t="s">
        <v>40</v>
      </c>
      <c r="M4" s="3">
        <f t="shared" si="2"/>
        <v>73.65</v>
      </c>
      <c r="N4" s="1" t="s">
        <v>41</v>
      </c>
    </row>
    <row r="5">
      <c r="A5" s="5" t="s">
        <v>62</v>
      </c>
      <c r="B5" s="5">
        <v>31.0</v>
      </c>
      <c r="C5" s="5" t="s">
        <v>520</v>
      </c>
      <c r="D5" s="10">
        <v>45808.0</v>
      </c>
      <c r="E5" s="1" t="s">
        <v>45</v>
      </c>
      <c r="J5" s="3">
        <f t="shared" si="1"/>
        <v>3373</v>
      </c>
      <c r="K5" s="1" t="s">
        <v>46</v>
      </c>
      <c r="M5" s="3">
        <f t="shared" si="2"/>
        <v>2865.09</v>
      </c>
      <c r="N5" s="1" t="s">
        <v>47</v>
      </c>
    </row>
    <row r="6">
      <c r="A6" s="5" t="s">
        <v>80</v>
      </c>
      <c r="B6" s="17">
        <v>22.99</v>
      </c>
      <c r="C6" s="5" t="s">
        <v>521</v>
      </c>
      <c r="D6" s="10">
        <v>45808.0</v>
      </c>
      <c r="J6" s="3">
        <f t="shared" si="1"/>
        <v>1742.9</v>
      </c>
      <c r="K6" s="1" t="s">
        <v>50</v>
      </c>
      <c r="M6" s="3">
        <f t="shared" si="2"/>
        <v>927.33</v>
      </c>
      <c r="N6" s="1" t="s">
        <v>51</v>
      </c>
    </row>
    <row r="7">
      <c r="A7" s="5" t="s">
        <v>47</v>
      </c>
      <c r="B7" s="17">
        <v>19.0</v>
      </c>
      <c r="C7" s="5" t="s">
        <v>522</v>
      </c>
      <c r="D7" s="10">
        <v>45808.0</v>
      </c>
      <c r="J7" s="3">
        <f t="shared" si="1"/>
        <v>0</v>
      </c>
      <c r="K7" s="1" t="s">
        <v>55</v>
      </c>
      <c r="M7" s="3">
        <f t="shared" si="2"/>
        <v>2727.58</v>
      </c>
      <c r="N7" s="1" t="s">
        <v>56</v>
      </c>
    </row>
    <row r="8">
      <c r="A8" s="5" t="s">
        <v>47</v>
      </c>
      <c r="B8" s="17">
        <v>2.0</v>
      </c>
      <c r="C8" s="5" t="s">
        <v>523</v>
      </c>
      <c r="D8" s="10">
        <v>45808.0</v>
      </c>
      <c r="M8" s="3">
        <f t="shared" si="2"/>
        <v>2865.09</v>
      </c>
      <c r="N8" s="1" t="s">
        <v>47</v>
      </c>
    </row>
    <row r="9">
      <c r="A9" s="5" t="s">
        <v>41</v>
      </c>
      <c r="B9" s="17">
        <v>5.5</v>
      </c>
      <c r="C9" s="5" t="s">
        <v>524</v>
      </c>
      <c r="D9" s="10">
        <v>45807.0</v>
      </c>
    </row>
    <row r="10">
      <c r="A10" s="5" t="s">
        <v>36</v>
      </c>
      <c r="B10" s="17">
        <v>28.58</v>
      </c>
      <c r="C10" s="5" t="s">
        <v>525</v>
      </c>
      <c r="D10" s="10">
        <v>45807.0</v>
      </c>
    </row>
    <row r="11">
      <c r="A11" s="5" t="s">
        <v>41</v>
      </c>
      <c r="B11" s="17">
        <v>2.99</v>
      </c>
      <c r="C11" s="5" t="s">
        <v>526</v>
      </c>
      <c r="D11" s="10">
        <v>45807.0</v>
      </c>
    </row>
    <row r="12">
      <c r="A12" s="5" t="s">
        <v>148</v>
      </c>
      <c r="B12" s="18">
        <v>24.99</v>
      </c>
      <c r="C12" s="5" t="s">
        <v>527</v>
      </c>
      <c r="D12" s="10">
        <v>45807.0</v>
      </c>
    </row>
    <row r="13">
      <c r="A13" s="5" t="s">
        <v>36</v>
      </c>
      <c r="B13" s="17">
        <v>49.22</v>
      </c>
      <c r="C13" s="5" t="s">
        <v>528</v>
      </c>
      <c r="D13" s="10">
        <v>45806.0</v>
      </c>
    </row>
    <row r="14">
      <c r="A14" s="5" t="s">
        <v>73</v>
      </c>
      <c r="B14" s="17">
        <v>250.0</v>
      </c>
      <c r="C14" s="5" t="s">
        <v>529</v>
      </c>
      <c r="D14" s="10">
        <v>45805.0</v>
      </c>
    </row>
    <row r="15">
      <c r="A15" s="5" t="s">
        <v>56</v>
      </c>
      <c r="B15" s="17">
        <v>28.0</v>
      </c>
      <c r="C15" s="5" t="s">
        <v>530</v>
      </c>
      <c r="D15" s="10">
        <v>45804.0</v>
      </c>
    </row>
    <row r="16">
      <c r="A16" s="5" t="s">
        <v>56</v>
      </c>
      <c r="B16" s="17">
        <v>12.37</v>
      </c>
      <c r="C16" s="5" t="s">
        <v>531</v>
      </c>
      <c r="D16" s="10">
        <v>45804.0</v>
      </c>
    </row>
    <row r="17">
      <c r="A17" s="5" t="s">
        <v>47</v>
      </c>
      <c r="B17" s="17">
        <v>2.0</v>
      </c>
      <c r="C17" s="5" t="s">
        <v>532</v>
      </c>
      <c r="D17" s="10">
        <v>45804.0</v>
      </c>
    </row>
    <row r="18">
      <c r="A18" s="5" t="s">
        <v>47</v>
      </c>
      <c r="B18" s="19">
        <v>2.0</v>
      </c>
      <c r="C18" s="5" t="s">
        <v>533</v>
      </c>
      <c r="D18" s="10">
        <v>45804.0</v>
      </c>
    </row>
    <row r="19">
      <c r="A19" s="5" t="s">
        <v>47</v>
      </c>
      <c r="B19" s="19">
        <v>5.0</v>
      </c>
      <c r="C19" s="5" t="s">
        <v>535</v>
      </c>
      <c r="D19" s="10">
        <v>45804.0</v>
      </c>
    </row>
    <row r="20">
      <c r="A20" s="5" t="s">
        <v>47</v>
      </c>
      <c r="B20" s="19">
        <v>5.0</v>
      </c>
      <c r="C20" s="5" t="s">
        <v>536</v>
      </c>
      <c r="D20" s="10">
        <v>45804.0</v>
      </c>
    </row>
    <row r="21">
      <c r="A21" s="5" t="s">
        <v>47</v>
      </c>
      <c r="B21" s="19">
        <v>5.0</v>
      </c>
      <c r="C21" s="5" t="s">
        <v>537</v>
      </c>
      <c r="D21" s="10">
        <v>45804.0</v>
      </c>
      <c r="E21" s="11"/>
      <c r="F21" s="11"/>
      <c r="G21" s="11"/>
    </row>
    <row r="22">
      <c r="A22" s="5" t="s">
        <v>534</v>
      </c>
      <c r="B22" s="19">
        <v>255.99</v>
      </c>
      <c r="C22" s="5" t="s">
        <v>538</v>
      </c>
      <c r="D22" s="10">
        <v>45803.0</v>
      </c>
    </row>
    <row r="23">
      <c r="A23" s="5" t="s">
        <v>37</v>
      </c>
      <c r="B23" s="17">
        <v>4.0</v>
      </c>
      <c r="C23" s="5" t="s">
        <v>539</v>
      </c>
      <c r="D23" s="10">
        <v>45803.0</v>
      </c>
    </row>
    <row r="24">
      <c r="A24" s="5" t="s">
        <v>37</v>
      </c>
      <c r="B24" s="17">
        <v>4.0</v>
      </c>
      <c r="C24" s="5" t="s">
        <v>540</v>
      </c>
      <c r="D24" s="10">
        <v>45803.0</v>
      </c>
    </row>
    <row r="25">
      <c r="A25" s="5" t="s">
        <v>534</v>
      </c>
      <c r="B25" s="17">
        <v>60.0</v>
      </c>
      <c r="C25" s="5" t="s">
        <v>541</v>
      </c>
      <c r="D25" s="10">
        <v>45801.0</v>
      </c>
    </row>
    <row r="26">
      <c r="A26" s="5" t="s">
        <v>62</v>
      </c>
      <c r="B26" s="20">
        <v>200.0</v>
      </c>
      <c r="C26" s="5" t="s">
        <v>542</v>
      </c>
      <c r="D26" s="10">
        <v>45801.0</v>
      </c>
    </row>
    <row r="27">
      <c r="A27" s="5" t="s">
        <v>534</v>
      </c>
      <c r="B27" s="20">
        <v>27.01</v>
      </c>
      <c r="C27" s="5" t="s">
        <v>543</v>
      </c>
      <c r="D27" s="10">
        <v>45801.0</v>
      </c>
    </row>
    <row r="28">
      <c r="A28" s="5" t="s">
        <v>56</v>
      </c>
      <c r="B28" s="17">
        <v>15.0</v>
      </c>
      <c r="C28" s="5" t="s">
        <v>544</v>
      </c>
      <c r="D28" s="10">
        <v>45800.0</v>
      </c>
    </row>
    <row r="29">
      <c r="A29" s="5" t="s">
        <v>56</v>
      </c>
      <c r="B29" s="19">
        <v>72.6</v>
      </c>
      <c r="C29" s="5" t="s">
        <v>545</v>
      </c>
      <c r="D29" s="10">
        <v>45800.0</v>
      </c>
    </row>
    <row r="30">
      <c r="A30" s="5" t="s">
        <v>80</v>
      </c>
      <c r="B30" s="17">
        <v>28.06</v>
      </c>
      <c r="C30" s="5" t="s">
        <v>546</v>
      </c>
      <c r="D30" s="10">
        <v>45800.0</v>
      </c>
    </row>
    <row r="31">
      <c r="A31" s="5" t="s">
        <v>56</v>
      </c>
      <c r="B31" s="21">
        <v>59.55</v>
      </c>
      <c r="C31" s="5" t="s">
        <v>547</v>
      </c>
      <c r="D31" s="10">
        <v>45798.0</v>
      </c>
    </row>
    <row r="32">
      <c r="A32" s="5" t="s">
        <v>56</v>
      </c>
      <c r="B32" s="17">
        <v>46.99</v>
      </c>
      <c r="C32" s="5" t="s">
        <v>548</v>
      </c>
      <c r="D32" s="10">
        <v>45798.0</v>
      </c>
    </row>
    <row r="33">
      <c r="A33" s="5" t="s">
        <v>73</v>
      </c>
      <c r="B33" s="17">
        <v>250.0</v>
      </c>
      <c r="C33" s="5" t="s">
        <v>549</v>
      </c>
      <c r="D33" s="10">
        <v>45798.0</v>
      </c>
    </row>
    <row r="34">
      <c r="A34" s="5" t="s">
        <v>534</v>
      </c>
      <c r="B34" s="17">
        <v>200.0</v>
      </c>
      <c r="C34" s="5" t="s">
        <v>550</v>
      </c>
      <c r="D34" s="10">
        <v>45796.0</v>
      </c>
    </row>
    <row r="35">
      <c r="A35" s="5" t="s">
        <v>534</v>
      </c>
      <c r="B35" s="17">
        <v>65.0</v>
      </c>
      <c r="C35" s="5" t="s">
        <v>551</v>
      </c>
      <c r="D35" s="10">
        <v>45796.0</v>
      </c>
    </row>
    <row r="36">
      <c r="A36" s="5" t="s">
        <v>37</v>
      </c>
      <c r="B36" s="17">
        <v>4.0</v>
      </c>
      <c r="C36" s="5" t="s">
        <v>552</v>
      </c>
      <c r="D36" s="10">
        <v>45796.0</v>
      </c>
    </row>
    <row r="37">
      <c r="A37" s="5" t="s">
        <v>37</v>
      </c>
      <c r="B37" s="17">
        <v>4.0</v>
      </c>
      <c r="C37" s="5" t="s">
        <v>553</v>
      </c>
      <c r="D37" s="10">
        <v>45796.0</v>
      </c>
    </row>
    <row r="38">
      <c r="A38" s="5" t="s">
        <v>47</v>
      </c>
      <c r="B38" s="17">
        <v>119.11</v>
      </c>
      <c r="C38" s="5" t="s">
        <v>554</v>
      </c>
      <c r="D38" s="10">
        <v>45796.0</v>
      </c>
    </row>
    <row r="39">
      <c r="A39" s="5" t="s">
        <v>36</v>
      </c>
      <c r="B39" s="17">
        <v>15.0</v>
      </c>
      <c r="C39" s="5" t="s">
        <v>555</v>
      </c>
      <c r="D39" s="10">
        <v>45796.0</v>
      </c>
    </row>
    <row r="40">
      <c r="A40" s="5" t="s">
        <v>58</v>
      </c>
      <c r="B40" s="17">
        <v>14.99</v>
      </c>
      <c r="C40" s="5" t="s">
        <v>556</v>
      </c>
      <c r="D40" s="10">
        <v>45795.0</v>
      </c>
    </row>
    <row r="41">
      <c r="A41" s="5" t="s">
        <v>36</v>
      </c>
      <c r="B41" s="17">
        <v>76.95</v>
      </c>
      <c r="C41" s="5" t="s">
        <v>557</v>
      </c>
      <c r="D41" s="10">
        <v>45793.0</v>
      </c>
    </row>
    <row r="42">
      <c r="A42" s="5" t="s">
        <v>41</v>
      </c>
      <c r="B42" s="17">
        <v>7.49</v>
      </c>
      <c r="C42" s="5" t="s">
        <v>558</v>
      </c>
      <c r="D42" s="10">
        <v>45793.0</v>
      </c>
    </row>
    <row r="43">
      <c r="A43" s="5" t="s">
        <v>56</v>
      </c>
      <c r="B43" s="17">
        <v>45.24</v>
      </c>
      <c r="C43" s="5" t="s">
        <v>559</v>
      </c>
      <c r="D43" s="10">
        <v>45793.0</v>
      </c>
    </row>
    <row r="44">
      <c r="A44" s="5" t="s">
        <v>58</v>
      </c>
      <c r="B44" s="17">
        <v>25.0</v>
      </c>
      <c r="C44" s="5" t="s">
        <v>560</v>
      </c>
      <c r="D44" s="10">
        <v>45792.0</v>
      </c>
    </row>
    <row r="45">
      <c r="A45" s="5" t="s">
        <v>534</v>
      </c>
      <c r="B45" s="17">
        <v>57.81</v>
      </c>
      <c r="C45" s="5" t="s">
        <v>561</v>
      </c>
      <c r="D45" s="10">
        <v>45792.0</v>
      </c>
    </row>
    <row r="46">
      <c r="A46" s="5" t="s">
        <v>534</v>
      </c>
      <c r="B46" s="17">
        <v>379.0</v>
      </c>
      <c r="C46" s="5" t="s">
        <v>562</v>
      </c>
      <c r="D46" s="10">
        <v>45792.0</v>
      </c>
    </row>
    <row r="47">
      <c r="A47" s="5" t="s">
        <v>62</v>
      </c>
      <c r="B47" s="17">
        <v>22.0</v>
      </c>
      <c r="C47" s="5" t="s">
        <v>563</v>
      </c>
      <c r="D47" s="10">
        <v>45792.0</v>
      </c>
    </row>
    <row r="48">
      <c r="A48" s="5" t="s">
        <v>73</v>
      </c>
      <c r="B48" s="17">
        <v>250.0</v>
      </c>
      <c r="C48" s="5" t="s">
        <v>564</v>
      </c>
      <c r="D48" s="10">
        <v>45791.0</v>
      </c>
    </row>
    <row r="49">
      <c r="A49" s="5" t="s">
        <v>41</v>
      </c>
      <c r="B49" s="17">
        <v>17.98</v>
      </c>
      <c r="C49" s="5" t="s">
        <v>565</v>
      </c>
      <c r="D49" s="10">
        <v>45791.0</v>
      </c>
    </row>
    <row r="50">
      <c r="A50" s="5" t="s">
        <v>37</v>
      </c>
      <c r="B50" s="17">
        <v>4.0</v>
      </c>
      <c r="C50" s="5" t="s">
        <v>566</v>
      </c>
      <c r="D50" s="10">
        <v>45790.0</v>
      </c>
    </row>
    <row r="51">
      <c r="A51" s="5" t="s">
        <v>50</v>
      </c>
      <c r="B51" s="17">
        <v>99.9</v>
      </c>
      <c r="C51" s="5" t="s">
        <v>567</v>
      </c>
      <c r="D51" s="10">
        <v>45790.0</v>
      </c>
    </row>
    <row r="52">
      <c r="A52" s="5" t="s">
        <v>56</v>
      </c>
      <c r="B52" s="17">
        <v>344.0</v>
      </c>
      <c r="C52" s="5" t="s">
        <v>568</v>
      </c>
      <c r="D52" s="10">
        <v>45789.0</v>
      </c>
    </row>
    <row r="53">
      <c r="A53" s="5" t="s">
        <v>62</v>
      </c>
      <c r="B53" s="5">
        <v>186.98</v>
      </c>
      <c r="C53" s="5" t="s">
        <v>569</v>
      </c>
      <c r="D53" s="10">
        <v>45789.0</v>
      </c>
    </row>
    <row r="54">
      <c r="A54" s="5" t="s">
        <v>56</v>
      </c>
      <c r="B54" s="5">
        <v>10.0</v>
      </c>
      <c r="C54" s="5" t="s">
        <v>570</v>
      </c>
      <c r="D54" s="10">
        <v>45789.0</v>
      </c>
    </row>
    <row r="55">
      <c r="A55" s="5" t="s">
        <v>56</v>
      </c>
      <c r="B55" s="5">
        <v>19.9</v>
      </c>
      <c r="C55" s="5" t="s">
        <v>571</v>
      </c>
      <c r="D55" s="10">
        <v>45789.0</v>
      </c>
    </row>
    <row r="56">
      <c r="A56" s="5" t="s">
        <v>37</v>
      </c>
      <c r="B56" s="5">
        <v>4.0</v>
      </c>
      <c r="C56" s="5" t="s">
        <v>572</v>
      </c>
      <c r="D56" s="10">
        <v>45789.0</v>
      </c>
    </row>
    <row r="57">
      <c r="A57" s="5" t="s">
        <v>37</v>
      </c>
      <c r="B57" s="5">
        <v>4.0</v>
      </c>
      <c r="C57" s="5" t="s">
        <v>573</v>
      </c>
      <c r="D57" s="10">
        <v>45789.0</v>
      </c>
    </row>
    <row r="58">
      <c r="A58" s="5" t="s">
        <v>41</v>
      </c>
      <c r="B58" s="5">
        <v>3.7</v>
      </c>
      <c r="C58" s="5" t="s">
        <v>574</v>
      </c>
      <c r="D58" s="10">
        <v>45787.0</v>
      </c>
    </row>
    <row r="59">
      <c r="A59" s="5" t="s">
        <v>56</v>
      </c>
      <c r="B59" s="5">
        <v>168.58</v>
      </c>
      <c r="C59" s="5" t="s">
        <v>575</v>
      </c>
      <c r="D59" s="10">
        <v>45787.0</v>
      </c>
    </row>
    <row r="60">
      <c r="A60" s="5" t="s">
        <v>56</v>
      </c>
      <c r="B60" s="5">
        <v>800.0</v>
      </c>
      <c r="C60" s="5" t="s">
        <v>576</v>
      </c>
      <c r="D60" s="10">
        <v>45787.0</v>
      </c>
    </row>
    <row r="61">
      <c r="A61" s="5" t="s">
        <v>58</v>
      </c>
      <c r="B61" s="5">
        <v>10.0</v>
      </c>
      <c r="C61" s="5" t="s">
        <v>577</v>
      </c>
      <c r="D61" s="10">
        <v>45786.0</v>
      </c>
    </row>
    <row r="62">
      <c r="A62" s="5" t="s">
        <v>36</v>
      </c>
      <c r="B62" s="5">
        <v>142.51</v>
      </c>
      <c r="C62" s="5" t="s">
        <v>578</v>
      </c>
      <c r="D62" s="10">
        <v>45786.0</v>
      </c>
    </row>
    <row r="63">
      <c r="A63" s="5" t="s">
        <v>36</v>
      </c>
      <c r="B63" s="5">
        <v>4.5</v>
      </c>
      <c r="C63" s="5" t="s">
        <v>579</v>
      </c>
      <c r="D63" s="10">
        <v>45786.0</v>
      </c>
    </row>
    <row r="64">
      <c r="A64" s="5" t="s">
        <v>56</v>
      </c>
      <c r="B64" s="5">
        <v>129.98</v>
      </c>
      <c r="C64" s="5" t="s">
        <v>580</v>
      </c>
      <c r="D64" s="10">
        <v>45786.0</v>
      </c>
    </row>
    <row r="65">
      <c r="A65" s="5" t="s">
        <v>36</v>
      </c>
      <c r="B65" s="5">
        <v>27.86</v>
      </c>
      <c r="C65" s="5" t="s">
        <v>581</v>
      </c>
      <c r="D65" s="10">
        <v>45785.0</v>
      </c>
    </row>
    <row r="66">
      <c r="A66" s="5" t="s">
        <v>36</v>
      </c>
      <c r="B66" s="5">
        <v>148.39</v>
      </c>
      <c r="C66" s="5" t="s">
        <v>582</v>
      </c>
      <c r="D66" s="10">
        <v>45784.0</v>
      </c>
    </row>
    <row r="67">
      <c r="A67" s="5" t="s">
        <v>73</v>
      </c>
      <c r="B67" s="5">
        <v>250.0</v>
      </c>
      <c r="C67" s="5" t="s">
        <v>583</v>
      </c>
      <c r="D67" s="10">
        <v>45784.0</v>
      </c>
    </row>
    <row r="68">
      <c r="A68" s="5" t="s">
        <v>41</v>
      </c>
      <c r="B68" s="5">
        <v>31.49</v>
      </c>
      <c r="C68" s="5" t="s">
        <v>584</v>
      </c>
      <c r="D68" s="10">
        <v>45783.0</v>
      </c>
    </row>
    <row r="69">
      <c r="A69" s="5" t="s">
        <v>37</v>
      </c>
      <c r="B69" s="5">
        <v>4.0</v>
      </c>
      <c r="C69" s="5" t="s">
        <v>585</v>
      </c>
      <c r="D69" s="10">
        <v>45782.0</v>
      </c>
    </row>
    <row r="70">
      <c r="A70" s="5" t="s">
        <v>37</v>
      </c>
      <c r="B70" s="5">
        <v>4.0</v>
      </c>
      <c r="C70" s="5" t="s">
        <v>586</v>
      </c>
      <c r="D70" s="10">
        <v>45782.0</v>
      </c>
    </row>
    <row r="71">
      <c r="A71" s="5" t="s">
        <v>50</v>
      </c>
      <c r="B71" s="5">
        <v>1280.0</v>
      </c>
      <c r="C71" s="5" t="s">
        <v>123</v>
      </c>
      <c r="D71" s="10">
        <v>45782.0</v>
      </c>
    </row>
    <row r="72">
      <c r="A72" s="5" t="s">
        <v>47</v>
      </c>
      <c r="B72" s="5">
        <v>16.0</v>
      </c>
      <c r="C72" s="5" t="s">
        <v>587</v>
      </c>
      <c r="D72" s="10">
        <v>45782.0</v>
      </c>
    </row>
    <row r="73">
      <c r="A73" s="5" t="s">
        <v>51</v>
      </c>
      <c r="B73" s="5">
        <v>57.02</v>
      </c>
      <c r="C73" s="5" t="s">
        <v>588</v>
      </c>
      <c r="D73" s="10">
        <v>45782.0</v>
      </c>
    </row>
    <row r="74">
      <c r="A74" s="5" t="s">
        <v>534</v>
      </c>
      <c r="B74" s="5">
        <v>425.77</v>
      </c>
      <c r="C74" s="5" t="s">
        <v>589</v>
      </c>
      <c r="D74" s="10">
        <v>45781.0</v>
      </c>
    </row>
    <row r="75">
      <c r="A75" s="5" t="s">
        <v>47</v>
      </c>
      <c r="B75" s="5">
        <v>63.28</v>
      </c>
      <c r="C75" s="5" t="s">
        <v>590</v>
      </c>
      <c r="D75" s="10">
        <v>45781.0</v>
      </c>
    </row>
    <row r="76">
      <c r="A76" s="5" t="s">
        <v>73</v>
      </c>
      <c r="B76" s="5">
        <v>287.0</v>
      </c>
      <c r="C76" s="5" t="s">
        <v>591</v>
      </c>
      <c r="D76" s="10">
        <v>45781.0</v>
      </c>
    </row>
    <row r="77">
      <c r="A77" s="5" t="s">
        <v>56</v>
      </c>
      <c r="B77" s="5">
        <v>46.09</v>
      </c>
      <c r="C77" s="5" t="s">
        <v>592</v>
      </c>
      <c r="D77" s="10">
        <v>45780.0</v>
      </c>
    </row>
    <row r="78">
      <c r="A78" s="5" t="s">
        <v>148</v>
      </c>
      <c r="B78" s="5">
        <v>150.48</v>
      </c>
      <c r="C78" s="5" t="s">
        <v>593</v>
      </c>
      <c r="D78" s="10">
        <v>45779.0</v>
      </c>
    </row>
    <row r="79">
      <c r="A79" s="5" t="s">
        <v>41</v>
      </c>
      <c r="B79" s="5">
        <v>4.5</v>
      </c>
      <c r="C79" s="5" t="s">
        <v>594</v>
      </c>
      <c r="D79" s="10">
        <v>45779.0</v>
      </c>
    </row>
    <row r="80">
      <c r="A80" s="5" t="s">
        <v>47</v>
      </c>
      <c r="B80" s="5">
        <v>3.47</v>
      </c>
      <c r="C80" s="5" t="s">
        <v>595</v>
      </c>
      <c r="D80" s="10">
        <v>45779.0</v>
      </c>
    </row>
    <row r="81">
      <c r="A81" s="5" t="s">
        <v>56</v>
      </c>
      <c r="B81" s="5">
        <v>429.28</v>
      </c>
      <c r="C81" s="5" t="s">
        <v>596</v>
      </c>
      <c r="D81" s="10">
        <v>45779.0</v>
      </c>
    </row>
    <row r="82">
      <c r="A82" s="5" t="s">
        <v>62</v>
      </c>
      <c r="B82" s="5">
        <v>25.98</v>
      </c>
      <c r="C82" s="5" t="s">
        <v>597</v>
      </c>
      <c r="D82" s="10">
        <v>45779.0</v>
      </c>
    </row>
    <row r="83">
      <c r="A83" s="5" t="s">
        <v>47</v>
      </c>
      <c r="B83" s="5">
        <v>2.0</v>
      </c>
      <c r="C83" s="5" t="s">
        <v>598</v>
      </c>
      <c r="D83" s="10">
        <v>45779.0</v>
      </c>
    </row>
    <row r="84">
      <c r="A84" s="5" t="s">
        <v>47</v>
      </c>
      <c r="B84" s="5">
        <v>2.0</v>
      </c>
      <c r="C84" s="5" t="s">
        <v>599</v>
      </c>
      <c r="D84" s="10">
        <v>45779.0</v>
      </c>
    </row>
    <row r="85">
      <c r="A85" s="5" t="s">
        <v>47</v>
      </c>
      <c r="B85" s="5">
        <v>5.0</v>
      </c>
      <c r="C85" s="5" t="s">
        <v>600</v>
      </c>
      <c r="D85" s="10">
        <v>45779.0</v>
      </c>
    </row>
    <row r="86">
      <c r="A86" s="5" t="s">
        <v>47</v>
      </c>
      <c r="B86" s="5">
        <v>5.0</v>
      </c>
      <c r="C86" s="5" t="s">
        <v>601</v>
      </c>
      <c r="D86" s="10">
        <v>45779.0</v>
      </c>
    </row>
    <row r="87">
      <c r="A87" s="5" t="s">
        <v>50</v>
      </c>
      <c r="B87" s="5">
        <v>363.0</v>
      </c>
      <c r="C87" s="5" t="s">
        <v>602</v>
      </c>
      <c r="D87" s="10">
        <v>45779.0</v>
      </c>
    </row>
    <row r="88">
      <c r="A88" s="5" t="s">
        <v>36</v>
      </c>
      <c r="B88" s="5">
        <v>65.15</v>
      </c>
      <c r="C88" s="5" t="s">
        <v>603</v>
      </c>
      <c r="D88" s="10">
        <v>45778.0</v>
      </c>
    </row>
    <row r="89">
      <c r="A89" s="5" t="s">
        <v>47</v>
      </c>
      <c r="B89" s="5">
        <v>278.99</v>
      </c>
      <c r="C89" s="5" t="s">
        <v>604</v>
      </c>
      <c r="D89" s="10">
        <v>45778.0</v>
      </c>
    </row>
    <row r="90">
      <c r="A90" s="5" t="s">
        <v>56</v>
      </c>
      <c r="B90" s="5">
        <v>500.0</v>
      </c>
      <c r="C90" s="5" t="s">
        <v>605</v>
      </c>
      <c r="D90" s="10">
        <v>45778.0</v>
      </c>
    </row>
    <row r="91">
      <c r="A91" s="5" t="s">
        <v>51</v>
      </c>
      <c r="B91" s="5">
        <v>202.13</v>
      </c>
      <c r="C91" s="5" t="s">
        <v>606</v>
      </c>
      <c r="D91" s="10">
        <v>45808.0</v>
      </c>
    </row>
    <row r="92">
      <c r="A92" s="5" t="s">
        <v>51</v>
      </c>
      <c r="B92" s="5">
        <v>203.99</v>
      </c>
      <c r="C92" s="5" t="s">
        <v>607</v>
      </c>
      <c r="D92" s="10">
        <v>45806.0</v>
      </c>
    </row>
    <row r="93">
      <c r="A93" s="5" t="s">
        <v>51</v>
      </c>
      <c r="B93" s="5">
        <v>142.38</v>
      </c>
      <c r="C93" s="5" t="s">
        <v>608</v>
      </c>
      <c r="D93" s="10">
        <v>45802.0</v>
      </c>
    </row>
    <row r="94">
      <c r="A94" s="5" t="s">
        <v>51</v>
      </c>
      <c r="B94" s="5">
        <v>197.8</v>
      </c>
      <c r="C94" s="5" t="s">
        <v>609</v>
      </c>
      <c r="D94" s="10">
        <v>45800.0</v>
      </c>
    </row>
    <row r="95">
      <c r="A95" s="5" t="s">
        <v>40</v>
      </c>
      <c r="B95" s="5">
        <v>2444.0</v>
      </c>
      <c r="C95" s="5" t="s">
        <v>610</v>
      </c>
      <c r="D95" s="10">
        <v>45797.0</v>
      </c>
    </row>
    <row r="96">
      <c r="A96" s="5" t="s">
        <v>46</v>
      </c>
      <c r="B96" s="5">
        <v>3373.0</v>
      </c>
      <c r="C96" s="5" t="s">
        <v>611</v>
      </c>
      <c r="D96" s="10">
        <v>45797.0</v>
      </c>
    </row>
    <row r="97">
      <c r="A97" s="5" t="s">
        <v>40</v>
      </c>
      <c r="B97" s="5">
        <v>12.0</v>
      </c>
      <c r="C97" s="5" t="s">
        <v>612</v>
      </c>
      <c r="D97" s="10">
        <v>45791.0</v>
      </c>
    </row>
    <row r="98">
      <c r="A98" s="5" t="s">
        <v>201</v>
      </c>
      <c r="B98" s="5">
        <v>3213.27</v>
      </c>
      <c r="C98" s="5" t="s">
        <v>613</v>
      </c>
      <c r="D98" s="10">
        <v>45791.0</v>
      </c>
    </row>
    <row r="99">
      <c r="A99" s="5" t="s">
        <v>58</v>
      </c>
      <c r="B99" s="5">
        <v>82.29</v>
      </c>
      <c r="C99" s="5" t="s">
        <v>614</v>
      </c>
      <c r="D99" s="10">
        <v>45784.0</v>
      </c>
    </row>
    <row r="100">
      <c r="A100" s="5" t="s">
        <v>58</v>
      </c>
      <c r="B100" s="5">
        <v>258.92</v>
      </c>
      <c r="C100" s="5" t="s">
        <v>615</v>
      </c>
      <c r="D100" s="10">
        <v>45784.0</v>
      </c>
    </row>
    <row r="101">
      <c r="A101" s="5" t="s">
        <v>47</v>
      </c>
      <c r="B101" s="5">
        <v>2326.74</v>
      </c>
      <c r="C101" s="5" t="s">
        <v>616</v>
      </c>
      <c r="D101" s="10">
        <v>45784.0</v>
      </c>
    </row>
    <row r="102">
      <c r="A102" s="5" t="s">
        <v>51</v>
      </c>
      <c r="B102" s="5">
        <v>124.01</v>
      </c>
      <c r="C102" s="5" t="s">
        <v>617</v>
      </c>
      <c r="D102" s="10">
        <v>45780.0</v>
      </c>
    </row>
    <row r="103">
      <c r="A103" s="5" t="s">
        <v>58</v>
      </c>
      <c r="B103" s="5">
        <v>381.87</v>
      </c>
      <c r="C103" s="5" t="s">
        <v>618</v>
      </c>
      <c r="D103" s="10">
        <v>45779.0</v>
      </c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2">
        <sortState ref="A2:D92">
          <sortCondition ref="D2:D92"/>
          <sortCondition ref="B2:B92"/>
        </sortState>
      </autoFilter>
    </customSheetView>
  </customSheetViews>
  <mergeCells count="2">
    <mergeCell ref="A1:B1"/>
    <mergeCell ref="E1:F1"/>
  </mergeCells>
  <conditionalFormatting sqref="D5">
    <cfRule type="notContainsBlanks" dxfId="0" priority="1">
      <formula>LEN(TRIM(D5))&gt;0</formula>
    </cfRule>
  </conditionalFormatting>
  <conditionalFormatting sqref="D3:D102">
    <cfRule type="notContainsBlanks" dxfId="0" priority="2">
      <formula>LEN(TRIM(D3))&gt;0</formula>
    </cfRule>
  </conditionalFormatting>
  <dataValidations>
    <dataValidation type="list" allowBlank="1" sqref="A3:A103">
      <formula1>kategorie!$A$1:$A$50</formula1>
    </dataValidation>
    <dataValidation type="custom" allowBlank="1" showDropDown="1" sqref="D3:D86">
      <formula1>OR(NOT(ISERROR(DATEVALUE(D3))), AND(ISNUMBER(D3), LEFT(CELL("format", D3))="D"))</formula1>
    </dataValidation>
  </dataValidation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SUM(J3:J995)</f>
        <v>9276.15</v>
      </c>
    </row>
    <row r="2">
      <c r="A2" s="5" t="s">
        <v>30</v>
      </c>
      <c r="B2" s="7" t="s">
        <v>31</v>
      </c>
      <c r="C2" s="5" t="s">
        <v>32</v>
      </c>
      <c r="D2" s="1" t="s">
        <v>33</v>
      </c>
    </row>
    <row r="3">
      <c r="A3" s="5" t="s">
        <v>41</v>
      </c>
      <c r="B3" s="17">
        <v>4.5</v>
      </c>
      <c r="C3" s="5" t="s">
        <v>619</v>
      </c>
      <c r="D3" s="10">
        <v>45777.0</v>
      </c>
      <c r="E3" s="1" t="s">
        <v>34</v>
      </c>
      <c r="F3" s="8" t="s">
        <v>620</v>
      </c>
      <c r="H3" s="2">
        <f>Zbiorczy!D58</f>
        <v>169145.63</v>
      </c>
      <c r="J3" s="3">
        <f t="shared" ref="J3:J7" si="1">SUMIF($A$3:A$94, K3, B$3:B$94)</f>
        <v>3213.25</v>
      </c>
      <c r="K3" s="1" t="s">
        <v>35</v>
      </c>
      <c r="M3" s="3">
        <f t="shared" ref="M3:M8" si="2">SUMIF($A$3:A$94, N3, B$3:B$94)</f>
        <v>692.63</v>
      </c>
      <c r="N3" s="1" t="s">
        <v>36</v>
      </c>
    </row>
    <row r="4">
      <c r="A4" s="5" t="s">
        <v>73</v>
      </c>
      <c r="B4" s="17">
        <v>200.0</v>
      </c>
      <c r="C4" s="5" t="s">
        <v>621</v>
      </c>
      <c r="D4" s="10">
        <v>45777.0</v>
      </c>
      <c r="E4" s="1" t="s">
        <v>39</v>
      </c>
      <c r="J4" s="3">
        <f t="shared" si="1"/>
        <v>1842</v>
      </c>
      <c r="K4" s="1" t="s">
        <v>40</v>
      </c>
      <c r="M4" s="3">
        <f t="shared" si="2"/>
        <v>111.85</v>
      </c>
      <c r="N4" s="1" t="s">
        <v>41</v>
      </c>
    </row>
    <row r="5">
      <c r="A5" s="5" t="s">
        <v>42</v>
      </c>
      <c r="B5" s="17">
        <v>174.0</v>
      </c>
      <c r="C5" s="5" t="s">
        <v>622</v>
      </c>
      <c r="D5" s="10">
        <v>45777.0</v>
      </c>
      <c r="E5" s="1" t="s">
        <v>45</v>
      </c>
      <c r="J5" s="3">
        <f t="shared" si="1"/>
        <v>2319</v>
      </c>
      <c r="K5" s="1" t="s">
        <v>46</v>
      </c>
      <c r="M5" s="3">
        <f t="shared" si="2"/>
        <v>3788.75</v>
      </c>
      <c r="N5" s="1" t="s">
        <v>47</v>
      </c>
    </row>
    <row r="6">
      <c r="A6" s="5" t="s">
        <v>222</v>
      </c>
      <c r="B6" s="17">
        <v>2000.0</v>
      </c>
      <c r="C6" s="5" t="s">
        <v>623</v>
      </c>
      <c r="D6" s="10">
        <v>45777.0</v>
      </c>
      <c r="J6" s="3">
        <f t="shared" si="1"/>
        <v>1901.9</v>
      </c>
      <c r="K6" s="1" t="s">
        <v>50</v>
      </c>
      <c r="M6" s="3">
        <f t="shared" si="2"/>
        <v>1106.4</v>
      </c>
      <c r="N6" s="1" t="s">
        <v>51</v>
      </c>
    </row>
    <row r="7">
      <c r="A7" s="5" t="s">
        <v>222</v>
      </c>
      <c r="B7" s="17">
        <v>3000.0</v>
      </c>
      <c r="C7" s="22" t="s">
        <v>624</v>
      </c>
      <c r="D7" s="10">
        <v>45777.0</v>
      </c>
      <c r="J7" s="3">
        <f t="shared" si="1"/>
        <v>0</v>
      </c>
      <c r="K7" s="1" t="s">
        <v>55</v>
      </c>
      <c r="M7" s="3">
        <f t="shared" si="2"/>
        <v>6476.12</v>
      </c>
      <c r="N7" s="1" t="s">
        <v>56</v>
      </c>
    </row>
    <row r="8">
      <c r="A8" s="5" t="s">
        <v>41</v>
      </c>
      <c r="B8" s="17">
        <v>13.69</v>
      </c>
      <c r="C8" s="5" t="s">
        <v>625</v>
      </c>
      <c r="D8" s="10">
        <v>45775.0</v>
      </c>
      <c r="M8" s="3">
        <f t="shared" si="2"/>
        <v>3788.75</v>
      </c>
      <c r="N8" s="1" t="s">
        <v>47</v>
      </c>
    </row>
    <row r="9">
      <c r="A9" s="5" t="s">
        <v>36</v>
      </c>
      <c r="B9" s="17">
        <v>21.5</v>
      </c>
      <c r="C9" s="5" t="s">
        <v>626</v>
      </c>
      <c r="D9" s="10">
        <v>45775.0</v>
      </c>
    </row>
    <row r="10">
      <c r="A10" s="5" t="s">
        <v>41</v>
      </c>
      <c r="B10" s="17">
        <v>19.98</v>
      </c>
      <c r="C10" s="5" t="s">
        <v>627</v>
      </c>
      <c r="D10" s="10">
        <v>45775.0</v>
      </c>
    </row>
    <row r="11">
      <c r="A11" s="5" t="s">
        <v>56</v>
      </c>
      <c r="B11" s="17">
        <v>16.0</v>
      </c>
      <c r="C11" s="5" t="s">
        <v>628</v>
      </c>
      <c r="D11" s="10">
        <v>45775.0</v>
      </c>
    </row>
    <row r="12">
      <c r="A12" s="5" t="s">
        <v>47</v>
      </c>
      <c r="B12" s="17">
        <v>321.18</v>
      </c>
      <c r="C12" s="5" t="s">
        <v>629</v>
      </c>
      <c r="D12" s="10">
        <v>45775.0</v>
      </c>
    </row>
    <row r="13">
      <c r="A13" s="5" t="s">
        <v>37</v>
      </c>
      <c r="B13" s="5">
        <v>4.0</v>
      </c>
      <c r="C13" s="5" t="s">
        <v>630</v>
      </c>
      <c r="D13" s="10">
        <v>45775.0</v>
      </c>
    </row>
    <row r="14">
      <c r="A14" s="5" t="s">
        <v>37</v>
      </c>
      <c r="B14" s="17">
        <v>4.0</v>
      </c>
      <c r="C14" s="5" t="s">
        <v>631</v>
      </c>
      <c r="D14" s="10">
        <v>45775.0</v>
      </c>
    </row>
    <row r="15">
      <c r="A15" s="5" t="s">
        <v>47</v>
      </c>
      <c r="B15" s="17">
        <v>678.0</v>
      </c>
      <c r="C15" s="5" t="s">
        <v>632</v>
      </c>
      <c r="D15" s="10">
        <v>45774.0</v>
      </c>
    </row>
    <row r="16">
      <c r="A16" s="5" t="s">
        <v>50</v>
      </c>
      <c r="B16" s="17">
        <v>159.0</v>
      </c>
      <c r="C16" s="5" t="s">
        <v>633</v>
      </c>
      <c r="D16" s="10">
        <v>45773.0</v>
      </c>
    </row>
    <row r="17">
      <c r="A17" s="5" t="s">
        <v>36</v>
      </c>
      <c r="B17" s="17">
        <v>36.74</v>
      </c>
      <c r="C17" s="5" t="s">
        <v>634</v>
      </c>
      <c r="D17" s="10">
        <v>45773.0</v>
      </c>
    </row>
    <row r="18">
      <c r="A18" s="5" t="s">
        <v>41</v>
      </c>
      <c r="B18" s="17">
        <v>4.5</v>
      </c>
      <c r="C18" s="5" t="s">
        <v>635</v>
      </c>
      <c r="D18" s="10">
        <v>45772.0</v>
      </c>
    </row>
    <row r="19">
      <c r="A19" s="5" t="s">
        <v>41</v>
      </c>
      <c r="B19" s="17">
        <v>7.49</v>
      </c>
      <c r="C19" s="5" t="s">
        <v>636</v>
      </c>
      <c r="D19" s="10">
        <v>45772.0</v>
      </c>
    </row>
    <row r="20">
      <c r="A20" s="5" t="s">
        <v>62</v>
      </c>
      <c r="B20" s="18">
        <v>52.6</v>
      </c>
      <c r="C20" s="5" t="s">
        <v>637</v>
      </c>
      <c r="D20" s="10">
        <v>45771.0</v>
      </c>
    </row>
    <row r="21">
      <c r="A21" s="5" t="s">
        <v>41</v>
      </c>
      <c r="B21" s="17">
        <v>4.5</v>
      </c>
      <c r="C21" s="5" t="s">
        <v>638</v>
      </c>
      <c r="D21" s="10">
        <v>45771.0</v>
      </c>
      <c r="E21" s="11"/>
      <c r="F21" s="11"/>
      <c r="G21" s="11"/>
    </row>
    <row r="22">
      <c r="A22" s="5" t="s">
        <v>36</v>
      </c>
      <c r="B22" s="17">
        <v>77.96</v>
      </c>
      <c r="C22" s="5" t="s">
        <v>639</v>
      </c>
      <c r="D22" s="10">
        <v>45771.0</v>
      </c>
    </row>
    <row r="23">
      <c r="A23" s="5" t="s">
        <v>56</v>
      </c>
      <c r="B23" s="17">
        <v>500.0</v>
      </c>
      <c r="C23" s="5" t="s">
        <v>640</v>
      </c>
      <c r="D23" s="10">
        <v>45771.0</v>
      </c>
    </row>
    <row r="24">
      <c r="A24" s="5" t="s">
        <v>307</v>
      </c>
      <c r="B24" s="17">
        <v>170.0</v>
      </c>
      <c r="C24" s="5" t="s">
        <v>641</v>
      </c>
      <c r="D24" s="10">
        <v>45771.0</v>
      </c>
    </row>
    <row r="25">
      <c r="A25" s="5" t="s">
        <v>56</v>
      </c>
      <c r="B25" s="17">
        <v>69.39</v>
      </c>
      <c r="C25" s="5" t="s">
        <v>642</v>
      </c>
      <c r="D25" s="10">
        <v>45770.0</v>
      </c>
    </row>
    <row r="26">
      <c r="A26" s="5" t="s">
        <v>47</v>
      </c>
      <c r="B26" s="19">
        <v>4.37</v>
      </c>
      <c r="C26" s="5" t="s">
        <v>643</v>
      </c>
      <c r="D26" s="10">
        <v>45770.0</v>
      </c>
    </row>
    <row r="27">
      <c r="A27" s="5" t="s">
        <v>47</v>
      </c>
      <c r="B27" s="19">
        <v>4.0</v>
      </c>
      <c r="C27" s="5" t="s">
        <v>644</v>
      </c>
      <c r="D27" s="10">
        <v>45768.0</v>
      </c>
    </row>
    <row r="28">
      <c r="A28" s="5" t="s">
        <v>47</v>
      </c>
      <c r="B28" s="19">
        <v>4.0</v>
      </c>
      <c r="C28" s="5" t="s">
        <v>645</v>
      </c>
      <c r="D28" s="10">
        <v>45768.0</v>
      </c>
    </row>
    <row r="29">
      <c r="A29" s="5" t="s">
        <v>36</v>
      </c>
      <c r="B29" s="19">
        <v>240.58</v>
      </c>
      <c r="C29" s="5" t="s">
        <v>646</v>
      </c>
      <c r="D29" s="10">
        <v>45768.0</v>
      </c>
    </row>
    <row r="30">
      <c r="A30" s="5" t="s">
        <v>47</v>
      </c>
      <c r="B30" s="19">
        <v>4.0</v>
      </c>
      <c r="C30" s="5" t="s">
        <v>647</v>
      </c>
      <c r="D30" s="10">
        <v>45768.0</v>
      </c>
    </row>
    <row r="31">
      <c r="A31" s="5" t="s">
        <v>47</v>
      </c>
      <c r="B31" s="17">
        <v>6.0</v>
      </c>
      <c r="C31" s="5" t="s">
        <v>648</v>
      </c>
      <c r="D31" s="10">
        <v>45768.0</v>
      </c>
    </row>
    <row r="32">
      <c r="A32" s="5" t="s">
        <v>56</v>
      </c>
      <c r="B32" s="17">
        <v>97.0</v>
      </c>
      <c r="C32" s="5" t="s">
        <v>649</v>
      </c>
      <c r="D32" s="10">
        <v>45767.0</v>
      </c>
    </row>
    <row r="33">
      <c r="A33" s="5" t="s">
        <v>41</v>
      </c>
      <c r="B33" s="17">
        <v>9.0</v>
      </c>
      <c r="C33" s="5" t="s">
        <v>650</v>
      </c>
      <c r="D33" s="10">
        <v>45766.0</v>
      </c>
    </row>
    <row r="34">
      <c r="A34" s="5" t="s">
        <v>41</v>
      </c>
      <c r="B34" s="20">
        <v>5.0</v>
      </c>
      <c r="C34" s="5" t="s">
        <v>651</v>
      </c>
      <c r="D34" s="10">
        <v>45766.0</v>
      </c>
    </row>
    <row r="35">
      <c r="A35" s="5" t="s">
        <v>41</v>
      </c>
      <c r="B35" s="20">
        <v>6.2</v>
      </c>
      <c r="C35" s="5" t="s">
        <v>652</v>
      </c>
      <c r="D35" s="10">
        <v>45766.0</v>
      </c>
    </row>
    <row r="36">
      <c r="A36" s="5" t="s">
        <v>56</v>
      </c>
      <c r="B36" s="17">
        <v>16.99</v>
      </c>
      <c r="C36" s="5" t="s">
        <v>653</v>
      </c>
      <c r="D36" s="10">
        <v>45766.0</v>
      </c>
    </row>
    <row r="37">
      <c r="A37" s="5" t="s">
        <v>56</v>
      </c>
      <c r="B37" s="19">
        <v>18.99</v>
      </c>
      <c r="C37" s="5" t="s">
        <v>654</v>
      </c>
      <c r="D37" s="10">
        <v>45766.0</v>
      </c>
    </row>
    <row r="38">
      <c r="A38" s="5" t="s">
        <v>56</v>
      </c>
      <c r="B38" s="17">
        <v>30.0</v>
      </c>
      <c r="C38" s="5" t="s">
        <v>655</v>
      </c>
      <c r="D38" s="10">
        <v>45765.0</v>
      </c>
    </row>
    <row r="39">
      <c r="A39" s="5" t="s">
        <v>56</v>
      </c>
      <c r="B39" s="21">
        <v>12.0</v>
      </c>
      <c r="C39" s="5" t="s">
        <v>656</v>
      </c>
      <c r="D39" s="10">
        <v>45765.0</v>
      </c>
    </row>
    <row r="40">
      <c r="A40" s="5" t="s">
        <v>58</v>
      </c>
      <c r="B40" s="17">
        <v>14.99</v>
      </c>
      <c r="C40" s="5" t="s">
        <v>657</v>
      </c>
      <c r="D40" s="10">
        <v>45765.0</v>
      </c>
    </row>
    <row r="41">
      <c r="A41" s="5" t="s">
        <v>36</v>
      </c>
      <c r="B41" s="17">
        <v>52.94</v>
      </c>
      <c r="C41" s="5" t="s">
        <v>658</v>
      </c>
      <c r="D41" s="10">
        <v>45765.0</v>
      </c>
    </row>
    <row r="42">
      <c r="A42" s="5" t="s">
        <v>36</v>
      </c>
      <c r="B42" s="17">
        <v>50.56</v>
      </c>
      <c r="C42" s="5" t="s">
        <v>659</v>
      </c>
      <c r="D42" s="10">
        <v>45764.0</v>
      </c>
    </row>
    <row r="43">
      <c r="A43" s="5" t="s">
        <v>56</v>
      </c>
      <c r="B43" s="17">
        <v>75.0</v>
      </c>
      <c r="C43" s="5" t="s">
        <v>660</v>
      </c>
      <c r="D43" s="10">
        <v>45764.0</v>
      </c>
    </row>
    <row r="44">
      <c r="A44" s="5" t="s">
        <v>73</v>
      </c>
      <c r="B44" s="17">
        <v>700.0</v>
      </c>
      <c r="C44" s="5" t="s">
        <v>661</v>
      </c>
      <c r="D44" s="10">
        <v>45764.0</v>
      </c>
    </row>
    <row r="45">
      <c r="A45" s="5" t="s">
        <v>47</v>
      </c>
      <c r="B45" s="17">
        <v>200.0</v>
      </c>
      <c r="C45" s="5" t="s">
        <v>662</v>
      </c>
      <c r="D45" s="10">
        <v>45764.0</v>
      </c>
    </row>
    <row r="46">
      <c r="A46" s="5" t="s">
        <v>56</v>
      </c>
      <c r="B46" s="17">
        <v>600.0</v>
      </c>
      <c r="C46" s="5" t="s">
        <v>663</v>
      </c>
      <c r="D46" s="10">
        <v>45763.0</v>
      </c>
    </row>
    <row r="47">
      <c r="A47" s="5" t="s">
        <v>36</v>
      </c>
      <c r="B47" s="17">
        <v>9.64</v>
      </c>
      <c r="C47" s="5" t="s">
        <v>664</v>
      </c>
      <c r="D47" s="10">
        <v>45763.0</v>
      </c>
    </row>
    <row r="48">
      <c r="A48" s="5" t="s">
        <v>47</v>
      </c>
      <c r="B48" s="17">
        <v>5.0</v>
      </c>
      <c r="C48" s="5" t="s">
        <v>665</v>
      </c>
      <c r="D48" s="10">
        <v>45763.0</v>
      </c>
    </row>
    <row r="49">
      <c r="A49" s="5" t="s">
        <v>47</v>
      </c>
      <c r="B49" s="17">
        <v>2.0</v>
      </c>
      <c r="C49" s="5" t="s">
        <v>666</v>
      </c>
      <c r="D49" s="10">
        <v>45763.0</v>
      </c>
    </row>
    <row r="50">
      <c r="A50" s="5" t="s">
        <v>47</v>
      </c>
      <c r="B50" s="17">
        <v>5.0</v>
      </c>
      <c r="C50" s="5" t="s">
        <v>667</v>
      </c>
      <c r="D50" s="10">
        <v>45763.0</v>
      </c>
    </row>
    <row r="51">
      <c r="A51" s="5" t="s">
        <v>47</v>
      </c>
      <c r="B51" s="17">
        <v>2.0</v>
      </c>
      <c r="C51" s="5" t="s">
        <v>668</v>
      </c>
      <c r="D51" s="10">
        <v>45763.0</v>
      </c>
    </row>
    <row r="52">
      <c r="A52" s="5" t="s">
        <v>36</v>
      </c>
      <c r="B52" s="17">
        <v>18.97</v>
      </c>
      <c r="C52" s="5" t="s">
        <v>669</v>
      </c>
      <c r="D52" s="10">
        <v>45762.0</v>
      </c>
    </row>
    <row r="53">
      <c r="A53" s="5" t="s">
        <v>41</v>
      </c>
      <c r="B53" s="17">
        <v>20.0</v>
      </c>
      <c r="C53" s="5" t="s">
        <v>670</v>
      </c>
      <c r="D53" s="10">
        <v>45762.0</v>
      </c>
    </row>
    <row r="54">
      <c r="A54" s="5" t="s">
        <v>41</v>
      </c>
      <c r="B54" s="17">
        <v>16.99</v>
      </c>
      <c r="C54" s="5" t="s">
        <v>671</v>
      </c>
      <c r="D54" s="10">
        <v>45762.0</v>
      </c>
    </row>
    <row r="55">
      <c r="A55" s="5" t="s">
        <v>36</v>
      </c>
      <c r="B55" s="17">
        <v>183.74</v>
      </c>
      <c r="C55" s="5" t="s">
        <v>672</v>
      </c>
      <c r="D55" s="10">
        <v>45762.0</v>
      </c>
    </row>
    <row r="56">
      <c r="A56" s="5" t="s">
        <v>47</v>
      </c>
      <c r="B56" s="17">
        <v>24.0</v>
      </c>
      <c r="C56" s="5" t="s">
        <v>673</v>
      </c>
      <c r="D56" s="10">
        <v>45762.0</v>
      </c>
    </row>
    <row r="57">
      <c r="A57" s="5" t="s">
        <v>56</v>
      </c>
      <c r="B57" s="17">
        <v>206.36</v>
      </c>
      <c r="C57" s="5" t="s">
        <v>674</v>
      </c>
      <c r="D57" s="10">
        <v>45762.0</v>
      </c>
    </row>
    <row r="58">
      <c r="A58" s="5" t="s">
        <v>56</v>
      </c>
      <c r="B58" s="17">
        <v>190.2</v>
      </c>
      <c r="C58" s="5" t="s">
        <v>675</v>
      </c>
      <c r="D58" s="10">
        <v>45761.0</v>
      </c>
    </row>
    <row r="59">
      <c r="A59" s="5" t="s">
        <v>56</v>
      </c>
      <c r="B59" s="17">
        <v>500.0</v>
      </c>
      <c r="C59" s="5" t="s">
        <v>676</v>
      </c>
      <c r="D59" s="10">
        <v>45760.0</v>
      </c>
    </row>
    <row r="60">
      <c r="A60" s="5" t="s">
        <v>56</v>
      </c>
      <c r="B60" s="17">
        <v>500.0</v>
      </c>
      <c r="C60" s="5" t="s">
        <v>677</v>
      </c>
      <c r="D60" s="10">
        <v>45757.0</v>
      </c>
    </row>
    <row r="61">
      <c r="A61" s="5" t="s">
        <v>50</v>
      </c>
      <c r="B61" s="5">
        <v>99.9</v>
      </c>
      <c r="C61" s="5" t="s">
        <v>678</v>
      </c>
      <c r="D61" s="10">
        <v>45757.0</v>
      </c>
    </row>
    <row r="62">
      <c r="A62" s="5" t="s">
        <v>56</v>
      </c>
      <c r="B62" s="5">
        <v>1000.0</v>
      </c>
      <c r="C62" s="5" t="s">
        <v>679</v>
      </c>
      <c r="D62" s="10">
        <v>45755.0</v>
      </c>
    </row>
    <row r="63">
      <c r="A63" s="5" t="s">
        <v>50</v>
      </c>
      <c r="B63" s="5">
        <v>1280.0</v>
      </c>
      <c r="C63" s="5" t="s">
        <v>123</v>
      </c>
      <c r="D63" s="10">
        <v>45754.0</v>
      </c>
    </row>
    <row r="64">
      <c r="A64" s="5" t="s">
        <v>56</v>
      </c>
      <c r="B64" s="5">
        <v>1000.0</v>
      </c>
      <c r="C64" s="5" t="s">
        <v>680</v>
      </c>
      <c r="D64" s="10">
        <v>45752.0</v>
      </c>
    </row>
    <row r="65">
      <c r="A65" s="5" t="s">
        <v>47</v>
      </c>
      <c r="B65" s="5">
        <v>193.5</v>
      </c>
      <c r="C65" s="5" t="s">
        <v>681</v>
      </c>
      <c r="D65" s="10">
        <v>45752.0</v>
      </c>
    </row>
    <row r="66">
      <c r="A66" s="5" t="s">
        <v>56</v>
      </c>
      <c r="B66" s="5">
        <v>1000.0</v>
      </c>
      <c r="C66" s="5" t="s">
        <v>682</v>
      </c>
      <c r="D66" s="10">
        <v>45751.0</v>
      </c>
    </row>
    <row r="67">
      <c r="A67" s="5" t="s">
        <v>56</v>
      </c>
      <c r="B67" s="5">
        <v>500.0</v>
      </c>
      <c r="C67" s="5" t="s">
        <v>683</v>
      </c>
      <c r="D67" s="10">
        <v>45749.0</v>
      </c>
    </row>
    <row r="68">
      <c r="A68" s="5" t="s">
        <v>58</v>
      </c>
      <c r="B68" s="5">
        <v>34.99</v>
      </c>
      <c r="C68" s="5" t="s">
        <v>684</v>
      </c>
      <c r="D68" s="10">
        <v>45749.0</v>
      </c>
    </row>
    <row r="69">
      <c r="A69" s="5" t="s">
        <v>56</v>
      </c>
      <c r="B69" s="5">
        <v>27.02</v>
      </c>
      <c r="C69" s="5" t="s">
        <v>685</v>
      </c>
      <c r="D69" s="10">
        <v>45749.0</v>
      </c>
    </row>
    <row r="70">
      <c r="A70" s="5" t="s">
        <v>50</v>
      </c>
      <c r="B70" s="5">
        <v>363.0</v>
      </c>
      <c r="C70" s="5" t="s">
        <v>686</v>
      </c>
      <c r="D70" s="10">
        <v>45748.0</v>
      </c>
    </row>
    <row r="71">
      <c r="A71" s="5" t="s">
        <v>56</v>
      </c>
      <c r="B71" s="5">
        <v>117.17</v>
      </c>
      <c r="C71" s="5" t="s">
        <v>687</v>
      </c>
      <c r="D71" s="10">
        <v>45748.0</v>
      </c>
    </row>
    <row r="72">
      <c r="A72" s="5" t="s">
        <v>51</v>
      </c>
      <c r="B72" s="5">
        <v>188.5</v>
      </c>
      <c r="C72" s="23" t="s">
        <v>688</v>
      </c>
      <c r="D72" s="10">
        <v>45777.0</v>
      </c>
    </row>
    <row r="73">
      <c r="A73" s="5" t="s">
        <v>51</v>
      </c>
      <c r="B73" s="5">
        <v>24.58</v>
      </c>
      <c r="C73" s="23" t="s">
        <v>689</v>
      </c>
      <c r="D73" s="10">
        <v>45776.0</v>
      </c>
    </row>
    <row r="74">
      <c r="A74" s="5" t="s">
        <v>51</v>
      </c>
      <c r="B74" s="5">
        <v>276.33</v>
      </c>
      <c r="C74" s="23" t="s">
        <v>690</v>
      </c>
      <c r="D74" s="10">
        <v>45776.0</v>
      </c>
    </row>
    <row r="75">
      <c r="A75" s="5" t="s">
        <v>51</v>
      </c>
      <c r="B75" s="5">
        <v>79.61</v>
      </c>
      <c r="C75" s="23" t="s">
        <v>691</v>
      </c>
      <c r="D75" s="10">
        <v>45768.0</v>
      </c>
    </row>
    <row r="76">
      <c r="A76" s="5" t="s">
        <v>51</v>
      </c>
      <c r="B76" s="5">
        <v>104.58</v>
      </c>
      <c r="C76" s="23" t="s">
        <v>692</v>
      </c>
      <c r="D76" s="10">
        <v>45766.0</v>
      </c>
    </row>
    <row r="77">
      <c r="A77" s="5" t="s">
        <v>46</v>
      </c>
      <c r="B77" s="5">
        <v>2319.0</v>
      </c>
      <c r="C77" s="23" t="s">
        <v>693</v>
      </c>
      <c r="D77" s="10">
        <v>45765.0</v>
      </c>
    </row>
    <row r="78">
      <c r="A78" s="5" t="s">
        <v>40</v>
      </c>
      <c r="B78" s="5">
        <v>1830.0</v>
      </c>
      <c r="C78" s="23" t="s">
        <v>694</v>
      </c>
      <c r="D78" s="10">
        <v>45765.0</v>
      </c>
    </row>
    <row r="79">
      <c r="A79" s="5" t="s">
        <v>51</v>
      </c>
      <c r="B79" s="5">
        <v>190.66</v>
      </c>
      <c r="C79" s="23" t="s">
        <v>695</v>
      </c>
      <c r="D79" s="10">
        <v>45765.0</v>
      </c>
    </row>
    <row r="80">
      <c r="A80" s="5" t="s">
        <v>40</v>
      </c>
      <c r="B80" s="5">
        <v>12.0</v>
      </c>
      <c r="C80" s="23" t="s">
        <v>696</v>
      </c>
      <c r="D80" s="10">
        <v>45762.0</v>
      </c>
    </row>
    <row r="81">
      <c r="A81" s="5" t="s">
        <v>201</v>
      </c>
      <c r="B81" s="5">
        <v>3213.25</v>
      </c>
      <c r="C81" s="23" t="s">
        <v>697</v>
      </c>
      <c r="D81" s="10">
        <v>45762.0</v>
      </c>
    </row>
    <row r="82">
      <c r="A82" s="5" t="s">
        <v>51</v>
      </c>
      <c r="B82" s="5">
        <v>242.14</v>
      </c>
      <c r="C82" s="23" t="s">
        <v>698</v>
      </c>
      <c r="D82" s="10">
        <v>45760.0</v>
      </c>
    </row>
    <row r="83">
      <c r="A83" s="5" t="s">
        <v>58</v>
      </c>
      <c r="B83" s="5">
        <v>82.29</v>
      </c>
      <c r="C83" s="23" t="s">
        <v>699</v>
      </c>
      <c r="D83" s="10">
        <v>45757.0</v>
      </c>
    </row>
    <row r="84">
      <c r="A84" s="5" t="s">
        <v>58</v>
      </c>
      <c r="B84" s="5">
        <v>258.92</v>
      </c>
      <c r="C84" s="23" t="s">
        <v>700</v>
      </c>
      <c r="D84" s="10">
        <v>45757.0</v>
      </c>
    </row>
    <row r="85">
      <c r="A85" s="5" t="s">
        <v>47</v>
      </c>
      <c r="B85" s="5">
        <v>2335.7</v>
      </c>
      <c r="C85" s="23" t="s">
        <v>701</v>
      </c>
      <c r="D85" s="10">
        <v>45750.0</v>
      </c>
    </row>
    <row r="86">
      <c r="A86" s="5"/>
      <c r="B86" s="5"/>
      <c r="C86" s="5"/>
      <c r="D86" s="10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24"/>
      <c r="D89" s="25"/>
    </row>
    <row r="90">
      <c r="A90" s="5"/>
      <c r="B90" s="24"/>
      <c r="C90" s="13"/>
      <c r="D90" s="11"/>
    </row>
    <row r="91">
      <c r="A91" s="5"/>
      <c r="B91" s="24"/>
      <c r="C91" s="24"/>
      <c r="D91" s="11"/>
    </row>
    <row r="92">
      <c r="A92" s="5"/>
      <c r="B92" s="24"/>
      <c r="C92" s="13"/>
      <c r="D92" s="11"/>
    </row>
    <row r="93">
      <c r="A93" s="5"/>
      <c r="B93" s="24"/>
      <c r="C93" s="13"/>
      <c r="D93" s="25"/>
    </row>
    <row r="94">
      <c r="A94" s="5"/>
      <c r="B94" s="24"/>
      <c r="C94" s="13"/>
      <c r="D94" s="25"/>
    </row>
    <row r="95">
      <c r="A95" s="5"/>
      <c r="B95" s="24"/>
      <c r="C95" s="13"/>
      <c r="D95" s="25"/>
    </row>
    <row r="96">
      <c r="A96" s="5"/>
      <c r="B96" s="24"/>
      <c r="C96" s="13"/>
      <c r="D96" s="25"/>
    </row>
    <row r="97">
      <c r="A97" s="5"/>
      <c r="B97" s="24"/>
      <c r="C97" s="13"/>
      <c r="D97" s="25"/>
    </row>
    <row r="98">
      <c r="A98" s="5"/>
      <c r="B98" s="24"/>
      <c r="C98" s="13"/>
      <c r="D98" s="25"/>
    </row>
    <row r="99">
      <c r="A99" s="5"/>
      <c r="B99" s="24"/>
      <c r="C99" s="13"/>
      <c r="D99" s="25"/>
    </row>
    <row r="100">
      <c r="A100" s="5"/>
      <c r="B100" s="24"/>
      <c r="C100" s="13"/>
      <c r="D100" s="25"/>
    </row>
    <row r="101">
      <c r="A101" s="12"/>
      <c r="B101" s="13"/>
      <c r="C101" s="13"/>
      <c r="D101" s="25"/>
    </row>
    <row r="102">
      <c r="A102" s="12"/>
      <c r="B102" s="13"/>
      <c r="C102" s="13"/>
      <c r="D102" s="25"/>
    </row>
    <row r="103">
      <c r="A103" s="12"/>
      <c r="B103" s="13"/>
      <c r="C103" s="13"/>
      <c r="D103" s="25"/>
    </row>
    <row r="104">
      <c r="A104" s="12"/>
      <c r="B104" s="13"/>
      <c r="C104" s="13"/>
      <c r="D104" s="25"/>
    </row>
    <row r="105">
      <c r="A105" s="12"/>
      <c r="B105" s="13"/>
      <c r="C105" s="13"/>
      <c r="D105" s="25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</sheetData>
  <customSheetViews>
    <customSheetView guid="{DB56FE4D-69BC-4E44-A2B9-5F7BA227A86E}" filter="1" showAutoFilter="1">
      <autoFilter ref="$A$2:$D$100">
        <sortState ref="A2:D100">
          <sortCondition ref="D2:D100"/>
          <sortCondition ref="B2:B100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105">
    <cfRule type="notContainsBlanks" dxfId="0" priority="2">
      <formula>LEN(TRIM(D3))&gt;0</formula>
    </cfRule>
  </conditionalFormatting>
  <dataValidations>
    <dataValidation type="list" allowBlank="1" sqref="A3:A105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SUM(J3:J995)</f>
        <v>13035.15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/>
      <c r="B3" s="17"/>
      <c r="C3" s="5"/>
      <c r="D3" s="3"/>
      <c r="E3" s="1" t="s">
        <v>34</v>
      </c>
      <c r="F3" s="8">
        <v>32016.0</v>
      </c>
      <c r="H3" s="2">
        <f>Zbiorczy!D57</f>
        <v>174000.01</v>
      </c>
      <c r="J3" s="3">
        <f t="shared" ref="J3:J7" si="1">SUMIF($A$3:A$94, K3, B$3:B$94)</f>
        <v>3213.25</v>
      </c>
      <c r="K3" s="1" t="s">
        <v>35</v>
      </c>
      <c r="M3" s="3">
        <f t="shared" ref="M3:M8" si="2">SUMIF($A$3:A$94, N3, B$3:B$94)</f>
        <v>188.09</v>
      </c>
      <c r="N3" s="1" t="s">
        <v>36</v>
      </c>
    </row>
    <row r="4">
      <c r="A4" s="5" t="s">
        <v>56</v>
      </c>
      <c r="B4" s="17">
        <v>1000.0</v>
      </c>
      <c r="C4" s="5" t="s">
        <v>702</v>
      </c>
      <c r="D4" s="10">
        <v>45746.0</v>
      </c>
      <c r="E4" s="1" t="s">
        <v>39</v>
      </c>
      <c r="J4" s="3">
        <f t="shared" si="1"/>
        <v>3151</v>
      </c>
      <c r="K4" s="1" t="s">
        <v>40</v>
      </c>
      <c r="M4" s="3">
        <f t="shared" si="2"/>
        <v>47.37</v>
      </c>
      <c r="N4" s="1" t="s">
        <v>41</v>
      </c>
    </row>
    <row r="5">
      <c r="A5" s="5" t="s">
        <v>56</v>
      </c>
      <c r="B5" s="17">
        <v>1000.0</v>
      </c>
      <c r="C5" s="5" t="s">
        <v>703</v>
      </c>
      <c r="D5" s="10">
        <v>45744.0</v>
      </c>
      <c r="E5" s="1" t="s">
        <v>45</v>
      </c>
      <c r="J5" s="3">
        <f t="shared" si="1"/>
        <v>4928</v>
      </c>
      <c r="K5" s="1" t="s">
        <v>46</v>
      </c>
      <c r="M5" s="3">
        <f t="shared" si="2"/>
        <v>3423.31</v>
      </c>
      <c r="N5" s="1" t="s">
        <v>47</v>
      </c>
    </row>
    <row r="6">
      <c r="A6" s="5" t="s">
        <v>56</v>
      </c>
      <c r="B6" s="17">
        <v>786.33</v>
      </c>
      <c r="C6" s="5" t="s">
        <v>704</v>
      </c>
      <c r="D6" s="10">
        <v>45743.0</v>
      </c>
      <c r="J6" s="3">
        <f t="shared" si="1"/>
        <v>1742.9</v>
      </c>
      <c r="K6" s="1" t="s">
        <v>50</v>
      </c>
      <c r="M6" s="3">
        <f t="shared" si="2"/>
        <v>334.13</v>
      </c>
      <c r="N6" s="1" t="s">
        <v>51</v>
      </c>
    </row>
    <row r="7">
      <c r="A7" s="5" t="s">
        <v>56</v>
      </c>
      <c r="B7" s="17">
        <v>1000.0</v>
      </c>
      <c r="C7" s="22" t="s">
        <v>705</v>
      </c>
      <c r="D7" s="10">
        <v>45742.0</v>
      </c>
      <c r="J7" s="3">
        <f t="shared" si="1"/>
        <v>0</v>
      </c>
      <c r="K7" s="1" t="s">
        <v>55</v>
      </c>
      <c r="M7" s="3">
        <f t="shared" si="2"/>
        <v>15606.66</v>
      </c>
      <c r="N7" s="1" t="s">
        <v>56</v>
      </c>
    </row>
    <row r="8">
      <c r="A8" s="5" t="s">
        <v>56</v>
      </c>
      <c r="B8" s="17">
        <v>1000.0</v>
      </c>
      <c r="C8" s="5" t="s">
        <v>706</v>
      </c>
      <c r="D8" s="10">
        <v>45741.0</v>
      </c>
      <c r="M8" s="3">
        <f t="shared" si="2"/>
        <v>3423.31</v>
      </c>
      <c r="N8" s="1" t="s">
        <v>47</v>
      </c>
    </row>
    <row r="9">
      <c r="A9" s="5" t="s">
        <v>56</v>
      </c>
      <c r="B9" s="17">
        <v>1500.0</v>
      </c>
      <c r="C9" s="5" t="s">
        <v>707</v>
      </c>
      <c r="D9" s="10">
        <v>45741.0</v>
      </c>
    </row>
    <row r="10">
      <c r="A10" s="5"/>
      <c r="B10" s="17"/>
      <c r="C10" s="5"/>
      <c r="D10" s="10"/>
    </row>
    <row r="11">
      <c r="A11" s="5" t="s">
        <v>56</v>
      </c>
      <c r="B11" s="17">
        <v>1500.0</v>
      </c>
      <c r="C11" s="5" t="s">
        <v>708</v>
      </c>
      <c r="D11" s="10">
        <v>45736.0</v>
      </c>
    </row>
    <row r="12">
      <c r="A12" s="5" t="s">
        <v>58</v>
      </c>
      <c r="B12" s="17">
        <v>14.99</v>
      </c>
      <c r="C12" s="5" t="s">
        <v>709</v>
      </c>
      <c r="D12" s="10">
        <v>45734.0</v>
      </c>
    </row>
    <row r="13">
      <c r="A13" s="5" t="s">
        <v>56</v>
      </c>
      <c r="B13" s="5">
        <v>2000.0</v>
      </c>
      <c r="C13" s="5" t="s">
        <v>710</v>
      </c>
      <c r="D13" s="10">
        <v>45733.0</v>
      </c>
    </row>
    <row r="14">
      <c r="A14" s="5" t="s">
        <v>47</v>
      </c>
      <c r="B14" s="17">
        <v>64.0</v>
      </c>
      <c r="C14" s="5" t="s">
        <v>711</v>
      </c>
      <c r="D14" s="10">
        <v>45729.0</v>
      </c>
    </row>
    <row r="15">
      <c r="A15" s="5" t="s">
        <v>56</v>
      </c>
      <c r="B15" s="17">
        <v>1500.0</v>
      </c>
      <c r="C15" s="5" t="s">
        <v>712</v>
      </c>
      <c r="D15" s="10">
        <v>45728.0</v>
      </c>
    </row>
    <row r="16">
      <c r="A16" s="5" t="s">
        <v>56</v>
      </c>
      <c r="B16" s="17">
        <v>500.0</v>
      </c>
      <c r="C16" s="5" t="s">
        <v>713</v>
      </c>
      <c r="D16" s="10">
        <v>45728.0</v>
      </c>
    </row>
    <row r="17">
      <c r="A17" s="5" t="s">
        <v>41</v>
      </c>
      <c r="B17" s="17">
        <v>5.49</v>
      </c>
      <c r="C17" s="5" t="s">
        <v>714</v>
      </c>
      <c r="D17" s="10">
        <v>45728.0</v>
      </c>
    </row>
    <row r="18">
      <c r="A18" s="5" t="s">
        <v>36</v>
      </c>
      <c r="B18" s="17">
        <v>30.39</v>
      </c>
      <c r="C18" s="5" t="s">
        <v>715</v>
      </c>
      <c r="D18" s="10">
        <v>45728.0</v>
      </c>
    </row>
    <row r="19">
      <c r="A19" s="5" t="s">
        <v>50</v>
      </c>
      <c r="B19" s="17">
        <v>99.9</v>
      </c>
      <c r="C19" s="5" t="s">
        <v>716</v>
      </c>
      <c r="D19" s="10">
        <v>45727.0</v>
      </c>
    </row>
    <row r="20">
      <c r="A20" s="5" t="s">
        <v>37</v>
      </c>
      <c r="B20" s="18">
        <v>8.8</v>
      </c>
      <c r="C20" s="5" t="s">
        <v>717</v>
      </c>
      <c r="D20" s="10">
        <v>45727.0</v>
      </c>
    </row>
    <row r="21">
      <c r="A21" s="5" t="s">
        <v>37</v>
      </c>
      <c r="B21" s="17">
        <v>6.8</v>
      </c>
      <c r="C21" s="5" t="s">
        <v>718</v>
      </c>
      <c r="D21" s="10">
        <v>45726.0</v>
      </c>
      <c r="E21" s="11"/>
      <c r="F21" s="11"/>
      <c r="G21" s="11"/>
    </row>
    <row r="22">
      <c r="A22" s="5" t="s">
        <v>37</v>
      </c>
      <c r="B22" s="17">
        <v>6.8</v>
      </c>
      <c r="C22" s="5" t="s">
        <v>719</v>
      </c>
      <c r="D22" s="10">
        <v>45726.0</v>
      </c>
    </row>
    <row r="23">
      <c r="A23" s="5" t="s">
        <v>47</v>
      </c>
      <c r="B23" s="17">
        <v>2.0</v>
      </c>
      <c r="C23" s="5" t="s">
        <v>720</v>
      </c>
      <c r="D23" s="10">
        <v>45726.0</v>
      </c>
    </row>
    <row r="24">
      <c r="A24" s="5" t="s">
        <v>36</v>
      </c>
      <c r="B24" s="17">
        <v>68.96</v>
      </c>
      <c r="C24" s="5" t="s">
        <v>721</v>
      </c>
      <c r="D24" s="10">
        <v>45726.0</v>
      </c>
    </row>
    <row r="25">
      <c r="A25" s="5" t="s">
        <v>36</v>
      </c>
      <c r="B25" s="17">
        <v>1.99</v>
      </c>
      <c r="C25" s="5" t="s">
        <v>722</v>
      </c>
      <c r="D25" s="10">
        <v>45726.0</v>
      </c>
    </row>
    <row r="26">
      <c r="A26" s="5" t="s">
        <v>56</v>
      </c>
      <c r="B26" s="19">
        <v>100.0</v>
      </c>
      <c r="C26" s="5" t="s">
        <v>723</v>
      </c>
      <c r="D26" s="10">
        <v>45726.0</v>
      </c>
    </row>
    <row r="27">
      <c r="A27" s="5" t="s">
        <v>47</v>
      </c>
      <c r="B27" s="19">
        <v>2.0</v>
      </c>
      <c r="C27" s="5" t="s">
        <v>724</v>
      </c>
      <c r="D27" s="10">
        <v>45726.0</v>
      </c>
    </row>
    <row r="28">
      <c r="A28" s="5" t="s">
        <v>47</v>
      </c>
      <c r="B28" s="19">
        <v>5.0</v>
      </c>
      <c r="C28" s="5" t="s">
        <v>725</v>
      </c>
      <c r="D28" s="10">
        <v>45726.0</v>
      </c>
    </row>
    <row r="29">
      <c r="A29" s="5" t="s">
        <v>47</v>
      </c>
      <c r="B29" s="19">
        <v>2.0</v>
      </c>
      <c r="C29" s="5" t="s">
        <v>726</v>
      </c>
      <c r="D29" s="10">
        <v>45726.0</v>
      </c>
    </row>
    <row r="30">
      <c r="A30" s="5" t="s">
        <v>47</v>
      </c>
      <c r="B30" s="19">
        <v>5.0</v>
      </c>
      <c r="C30" s="5" t="s">
        <v>727</v>
      </c>
      <c r="D30" s="10">
        <v>45726.0</v>
      </c>
    </row>
    <row r="31">
      <c r="A31" s="5" t="s">
        <v>47</v>
      </c>
      <c r="B31" s="17">
        <v>2.0</v>
      </c>
      <c r="C31" s="5" t="s">
        <v>728</v>
      </c>
      <c r="D31" s="10">
        <v>45726.0</v>
      </c>
    </row>
    <row r="32">
      <c r="A32" s="5" t="s">
        <v>47</v>
      </c>
      <c r="B32" s="17">
        <v>10.0</v>
      </c>
      <c r="C32" s="5" t="s">
        <v>729</v>
      </c>
      <c r="D32" s="10">
        <v>45726.0</v>
      </c>
    </row>
    <row r="33">
      <c r="A33" s="5" t="s">
        <v>47</v>
      </c>
      <c r="B33" s="17">
        <v>2.0</v>
      </c>
      <c r="C33" s="5" t="s">
        <v>730</v>
      </c>
      <c r="D33" s="10">
        <v>45726.0</v>
      </c>
    </row>
    <row r="34">
      <c r="A34" s="5" t="s">
        <v>56</v>
      </c>
      <c r="B34" s="20">
        <v>776.64</v>
      </c>
      <c r="C34" s="5" t="s">
        <v>731</v>
      </c>
      <c r="D34" s="10">
        <v>45726.0</v>
      </c>
    </row>
    <row r="35">
      <c r="A35" s="5" t="s">
        <v>42</v>
      </c>
      <c r="B35" s="20">
        <v>43.8</v>
      </c>
      <c r="C35" s="5" t="s">
        <v>732</v>
      </c>
      <c r="D35" s="10">
        <v>45725.0</v>
      </c>
    </row>
    <row r="36">
      <c r="A36" s="5" t="s">
        <v>47</v>
      </c>
      <c r="B36" s="17">
        <v>229.28</v>
      </c>
      <c r="C36" s="5" t="s">
        <v>733</v>
      </c>
      <c r="D36" s="10">
        <v>45724.0</v>
      </c>
    </row>
    <row r="37">
      <c r="A37" s="5" t="s">
        <v>56</v>
      </c>
      <c r="B37" s="19">
        <v>243.65</v>
      </c>
      <c r="C37" s="5" t="s">
        <v>734</v>
      </c>
      <c r="D37" s="10">
        <v>45724.0</v>
      </c>
    </row>
    <row r="38">
      <c r="A38" s="5" t="s">
        <v>47</v>
      </c>
      <c r="B38" s="17">
        <v>89.0</v>
      </c>
      <c r="C38" s="5" t="s">
        <v>735</v>
      </c>
      <c r="D38" s="10">
        <v>45724.0</v>
      </c>
    </row>
    <row r="39">
      <c r="A39" s="5" t="s">
        <v>56</v>
      </c>
      <c r="B39" s="21">
        <v>67.8</v>
      </c>
      <c r="C39" s="5" t="s">
        <v>736</v>
      </c>
      <c r="D39" s="10">
        <v>45724.0</v>
      </c>
    </row>
    <row r="40">
      <c r="A40" s="5" t="s">
        <v>62</v>
      </c>
      <c r="B40" s="17">
        <v>120.0</v>
      </c>
      <c r="C40" s="5" t="s">
        <v>737</v>
      </c>
      <c r="D40" s="10">
        <v>45723.0</v>
      </c>
    </row>
    <row r="41">
      <c r="A41" s="5" t="s">
        <v>56</v>
      </c>
      <c r="B41" s="17">
        <v>599.0</v>
      </c>
      <c r="C41" s="5" t="s">
        <v>738</v>
      </c>
      <c r="D41" s="10">
        <v>45722.0</v>
      </c>
    </row>
    <row r="42">
      <c r="A42" s="5" t="s">
        <v>41</v>
      </c>
      <c r="B42" s="17">
        <v>26.48</v>
      </c>
      <c r="C42" s="5" t="s">
        <v>739</v>
      </c>
      <c r="D42" s="10">
        <v>45722.0</v>
      </c>
    </row>
    <row r="43">
      <c r="A43" s="5" t="s">
        <v>41</v>
      </c>
      <c r="B43" s="17">
        <v>8.9</v>
      </c>
      <c r="C43" s="5" t="s">
        <v>740</v>
      </c>
      <c r="D43" s="10">
        <v>45722.0</v>
      </c>
    </row>
    <row r="44">
      <c r="A44" s="5" t="s">
        <v>47</v>
      </c>
      <c r="B44" s="17">
        <v>17.99</v>
      </c>
      <c r="C44" s="5" t="s">
        <v>741</v>
      </c>
      <c r="D44" s="10">
        <v>45722.0</v>
      </c>
    </row>
    <row r="45">
      <c r="A45" s="5" t="s">
        <v>222</v>
      </c>
      <c r="B45" s="17">
        <v>3000.0</v>
      </c>
      <c r="C45" s="5" t="s">
        <v>742</v>
      </c>
      <c r="D45" s="10">
        <v>45721.0</v>
      </c>
    </row>
    <row r="46">
      <c r="A46" s="5" t="s">
        <v>41</v>
      </c>
      <c r="B46" s="17">
        <v>6.5</v>
      </c>
      <c r="C46" s="5" t="s">
        <v>743</v>
      </c>
      <c r="D46" s="10">
        <v>45721.0</v>
      </c>
    </row>
    <row r="47">
      <c r="A47" s="5" t="s">
        <v>47</v>
      </c>
      <c r="B47" s="17">
        <v>200.0</v>
      </c>
      <c r="C47" s="5" t="s">
        <v>744</v>
      </c>
      <c r="D47" s="10">
        <v>45721.0</v>
      </c>
    </row>
    <row r="48">
      <c r="A48" s="5" t="s">
        <v>47</v>
      </c>
      <c r="B48" s="17">
        <v>280.0</v>
      </c>
      <c r="C48" s="5" t="s">
        <v>745</v>
      </c>
      <c r="D48" s="10">
        <v>45721.0</v>
      </c>
    </row>
    <row r="49">
      <c r="A49" s="5" t="s">
        <v>56</v>
      </c>
      <c r="B49" s="17">
        <v>500.0</v>
      </c>
      <c r="C49" s="5" t="s">
        <v>746</v>
      </c>
      <c r="D49" s="10">
        <v>45720.0</v>
      </c>
    </row>
    <row r="50">
      <c r="A50" s="5" t="s">
        <v>37</v>
      </c>
      <c r="B50" s="17">
        <v>4.0</v>
      </c>
      <c r="C50" s="5" t="s">
        <v>747</v>
      </c>
      <c r="D50" s="10">
        <v>45719.0</v>
      </c>
    </row>
    <row r="51">
      <c r="A51" s="5" t="s">
        <v>56</v>
      </c>
      <c r="B51" s="17">
        <v>35.24</v>
      </c>
      <c r="C51" s="5" t="s">
        <v>748</v>
      </c>
      <c r="D51" s="10">
        <v>45719.0</v>
      </c>
    </row>
    <row r="52">
      <c r="A52" s="5" t="s">
        <v>47</v>
      </c>
      <c r="B52" s="17">
        <v>12.01</v>
      </c>
      <c r="C52" s="5" t="s">
        <v>749</v>
      </c>
      <c r="D52" s="10">
        <v>45719.0</v>
      </c>
    </row>
    <row r="53">
      <c r="A53" s="5" t="s">
        <v>37</v>
      </c>
      <c r="B53" s="17">
        <v>4.0</v>
      </c>
      <c r="C53" s="5" t="s">
        <v>750</v>
      </c>
      <c r="D53" s="10">
        <v>45719.0</v>
      </c>
    </row>
    <row r="54">
      <c r="A54" s="5" t="s">
        <v>50</v>
      </c>
      <c r="B54" s="17">
        <v>363.0</v>
      </c>
      <c r="C54" s="5" t="s">
        <v>751</v>
      </c>
      <c r="D54" s="10">
        <v>45719.0</v>
      </c>
    </row>
    <row r="55">
      <c r="A55" s="5" t="s">
        <v>56</v>
      </c>
      <c r="B55" s="17">
        <v>1000.0</v>
      </c>
      <c r="C55" s="5" t="s">
        <v>752</v>
      </c>
      <c r="D55" s="10">
        <v>45718.0</v>
      </c>
    </row>
    <row r="56">
      <c r="A56" s="5" t="s">
        <v>36</v>
      </c>
      <c r="B56" s="17">
        <v>45.3</v>
      </c>
      <c r="C56" s="5" t="s">
        <v>753</v>
      </c>
      <c r="D56" s="10">
        <v>45718.0</v>
      </c>
    </row>
    <row r="57">
      <c r="A57" s="5" t="s">
        <v>50</v>
      </c>
      <c r="B57" s="17">
        <v>1280.0</v>
      </c>
      <c r="C57" s="5" t="s">
        <v>123</v>
      </c>
      <c r="D57" s="10">
        <v>45718.0</v>
      </c>
    </row>
    <row r="58">
      <c r="A58" s="5" t="s">
        <v>56</v>
      </c>
      <c r="B58" s="17">
        <v>498.0</v>
      </c>
      <c r="C58" s="5" t="s">
        <v>754</v>
      </c>
      <c r="D58" s="10">
        <v>45718.0</v>
      </c>
    </row>
    <row r="59">
      <c r="A59" s="5" t="s">
        <v>36</v>
      </c>
      <c r="B59" s="17">
        <v>41.45</v>
      </c>
      <c r="C59" s="5" t="s">
        <v>755</v>
      </c>
      <c r="D59" s="10">
        <v>45718.0</v>
      </c>
    </row>
    <row r="60">
      <c r="A60" s="5" t="s">
        <v>47</v>
      </c>
      <c r="B60" s="17">
        <v>87.56</v>
      </c>
      <c r="C60" s="5" t="s">
        <v>756</v>
      </c>
      <c r="D60" s="10">
        <v>45718.0</v>
      </c>
    </row>
    <row r="61">
      <c r="A61" s="5" t="s">
        <v>58</v>
      </c>
      <c r="B61" s="5">
        <v>381.87</v>
      </c>
      <c r="C61" s="23" t="s">
        <v>757</v>
      </c>
      <c r="D61" s="10">
        <v>45745.0</v>
      </c>
    </row>
    <row r="62">
      <c r="A62" s="5" t="s">
        <v>40</v>
      </c>
      <c r="B62" s="5">
        <v>5.0</v>
      </c>
      <c r="C62" s="23" t="s">
        <v>758</v>
      </c>
      <c r="D62" s="10">
        <v>45740.0</v>
      </c>
    </row>
    <row r="63">
      <c r="A63" s="5" t="s">
        <v>46</v>
      </c>
      <c r="B63" s="5">
        <v>4928.0</v>
      </c>
      <c r="C63" s="23" t="s">
        <v>759</v>
      </c>
      <c r="D63" s="10">
        <v>45734.0</v>
      </c>
    </row>
    <row r="64">
      <c r="A64" s="5" t="s">
        <v>40</v>
      </c>
      <c r="B64" s="5">
        <v>3134.0</v>
      </c>
      <c r="C64" s="23" t="s">
        <v>760</v>
      </c>
      <c r="D64" s="10">
        <v>45734.0</v>
      </c>
    </row>
    <row r="65">
      <c r="A65" s="5" t="s">
        <v>40</v>
      </c>
      <c r="B65" s="5">
        <v>12.0</v>
      </c>
      <c r="C65" s="23" t="s">
        <v>761</v>
      </c>
      <c r="D65" s="10">
        <v>45731.0</v>
      </c>
    </row>
    <row r="66">
      <c r="A66" s="5" t="s">
        <v>201</v>
      </c>
      <c r="B66" s="5">
        <v>3213.25</v>
      </c>
      <c r="C66" s="23" t="s">
        <v>762</v>
      </c>
      <c r="D66" s="10">
        <v>45731.0</v>
      </c>
    </row>
    <row r="67">
      <c r="A67" s="5" t="s">
        <v>47</v>
      </c>
      <c r="B67" s="5">
        <v>82.29</v>
      </c>
      <c r="C67" s="23" t="s">
        <v>763</v>
      </c>
      <c r="D67" s="10">
        <v>45722.0</v>
      </c>
    </row>
    <row r="68">
      <c r="A68" s="5" t="s">
        <v>58</v>
      </c>
      <c r="B68" s="5">
        <v>262.74</v>
      </c>
      <c r="C68" s="23" t="s">
        <v>764</v>
      </c>
      <c r="D68" s="10">
        <v>45722.0</v>
      </c>
    </row>
    <row r="69">
      <c r="A69" s="5" t="s">
        <v>47</v>
      </c>
      <c r="B69" s="5">
        <v>2331.18</v>
      </c>
      <c r="C69" s="23" t="s">
        <v>765</v>
      </c>
      <c r="D69" s="10">
        <v>45722.0</v>
      </c>
    </row>
    <row r="70">
      <c r="A70" s="5" t="s">
        <v>51</v>
      </c>
      <c r="B70" s="5">
        <v>91.52</v>
      </c>
      <c r="C70" s="23" t="s">
        <v>766</v>
      </c>
      <c r="D70" s="10">
        <v>45720.0</v>
      </c>
    </row>
    <row r="71">
      <c r="A71" s="5" t="s">
        <v>51</v>
      </c>
      <c r="B71" s="5">
        <v>242.61</v>
      </c>
      <c r="C71" s="23" t="s">
        <v>767</v>
      </c>
      <c r="D71" s="10">
        <v>45720.0</v>
      </c>
    </row>
    <row r="72">
      <c r="A72" s="5" t="s">
        <v>58</v>
      </c>
      <c r="B72" s="5">
        <v>381.87</v>
      </c>
      <c r="C72" s="23" t="s">
        <v>768</v>
      </c>
      <c r="D72" s="10">
        <v>45718.0</v>
      </c>
    </row>
    <row r="73">
      <c r="A73" s="5"/>
      <c r="B73" s="5"/>
      <c r="C73" s="5"/>
      <c r="D73" s="10"/>
    </row>
    <row r="74">
      <c r="A74" s="5"/>
      <c r="B74" s="5"/>
      <c r="C74" s="5"/>
      <c r="D74" s="10"/>
    </row>
    <row r="75">
      <c r="A75" s="5"/>
      <c r="B75" s="5"/>
      <c r="C75" s="5"/>
      <c r="D75" s="10"/>
    </row>
    <row r="76">
      <c r="A76" s="5"/>
      <c r="B76" s="5"/>
      <c r="C76" s="5"/>
      <c r="D76" s="10"/>
    </row>
    <row r="77">
      <c r="A77" s="5"/>
      <c r="B77" s="5"/>
      <c r="C77" s="5"/>
      <c r="D77" s="10"/>
    </row>
    <row r="78">
      <c r="A78" s="5"/>
      <c r="B78" s="5"/>
      <c r="C78" s="5"/>
      <c r="D78" s="10"/>
    </row>
    <row r="79">
      <c r="A79" s="5"/>
      <c r="B79" s="5"/>
      <c r="C79" s="5"/>
      <c r="D79" s="10"/>
    </row>
    <row r="80">
      <c r="A80" s="5"/>
      <c r="B80" s="5"/>
      <c r="C80" s="5"/>
      <c r="D80" s="10"/>
    </row>
    <row r="81">
      <c r="A81" s="5"/>
      <c r="B81" s="5"/>
      <c r="C81" s="5"/>
      <c r="D81" s="10"/>
    </row>
    <row r="82">
      <c r="A82" s="5"/>
      <c r="B82" s="5"/>
      <c r="C82" s="5"/>
      <c r="D82" s="10"/>
    </row>
    <row r="83">
      <c r="A83" s="5"/>
      <c r="B83" s="5"/>
      <c r="C83" s="5"/>
      <c r="D83" s="10"/>
    </row>
    <row r="84">
      <c r="A84" s="5"/>
      <c r="B84" s="5"/>
      <c r="C84" s="5"/>
      <c r="D84" s="10"/>
    </row>
    <row r="85">
      <c r="A85" s="5"/>
      <c r="B85" s="5"/>
      <c r="C85" s="5"/>
      <c r="D85" s="10"/>
    </row>
    <row r="86">
      <c r="A86" s="5"/>
      <c r="B86" s="5"/>
      <c r="C86" s="5"/>
      <c r="D86" s="10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24"/>
      <c r="D89" s="25"/>
    </row>
    <row r="90">
      <c r="A90" s="5"/>
      <c r="B90" s="24"/>
      <c r="C90" s="13"/>
      <c r="D90" s="11"/>
    </row>
    <row r="91">
      <c r="A91" s="5"/>
      <c r="B91" s="24"/>
      <c r="C91" s="24"/>
      <c r="D91" s="11"/>
    </row>
    <row r="92">
      <c r="A92" s="5"/>
      <c r="B92" s="24"/>
      <c r="C92" s="13"/>
      <c r="D92" s="11"/>
    </row>
    <row r="93">
      <c r="A93" s="5"/>
      <c r="B93" s="24"/>
      <c r="C93" s="13"/>
      <c r="D93" s="25"/>
    </row>
    <row r="94">
      <c r="A94" s="5"/>
      <c r="B94" s="24"/>
      <c r="C94" s="13"/>
      <c r="D94" s="25"/>
    </row>
    <row r="95">
      <c r="A95" s="5"/>
      <c r="B95" s="24"/>
      <c r="C95" s="13"/>
      <c r="D95" s="25"/>
    </row>
    <row r="96">
      <c r="A96" s="5"/>
      <c r="B96" s="24"/>
      <c r="C96" s="13"/>
      <c r="D96" s="25"/>
    </row>
    <row r="97">
      <c r="A97" s="5"/>
      <c r="B97" s="24"/>
      <c r="C97" s="13"/>
      <c r="D97" s="25"/>
    </row>
    <row r="98">
      <c r="A98" s="5"/>
      <c r="B98" s="24"/>
      <c r="C98" s="13"/>
      <c r="D98" s="25"/>
    </row>
    <row r="99">
      <c r="A99" s="5"/>
      <c r="B99" s="24"/>
      <c r="C99" s="13"/>
      <c r="D99" s="25"/>
    </row>
    <row r="100">
      <c r="A100" s="5"/>
      <c r="B100" s="24"/>
      <c r="C100" s="13"/>
      <c r="D100" s="25"/>
    </row>
    <row r="101">
      <c r="A101" s="12"/>
      <c r="B101" s="13"/>
      <c r="C101" s="13"/>
      <c r="D101" s="25"/>
    </row>
    <row r="102">
      <c r="A102" s="12"/>
      <c r="B102" s="13"/>
      <c r="C102" s="13"/>
      <c r="D102" s="25"/>
    </row>
    <row r="103">
      <c r="A103" s="12"/>
      <c r="B103" s="13"/>
      <c r="C103" s="13"/>
      <c r="D103" s="25"/>
    </row>
    <row r="104">
      <c r="A104" s="12"/>
      <c r="B104" s="13"/>
      <c r="C104" s="13"/>
      <c r="D104" s="25"/>
    </row>
    <row r="105">
      <c r="A105" s="12"/>
      <c r="B105" s="13"/>
      <c r="C105" s="13"/>
      <c r="D105" s="25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0">
        <sortState ref="A2:D100">
          <sortCondition ref="D2:D100"/>
          <sortCondition ref="B2:B100"/>
        </sortState>
      </autoFilter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105">
    <cfRule type="notContainsBlanks" dxfId="0" priority="2">
      <formula>LEN(TRIM(D3))&gt;0</formula>
    </cfRule>
  </conditionalFormatting>
  <dataValidations>
    <dataValidation type="list" allowBlank="1" sqref="A3:A105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SUM(J3:J995)</f>
        <v>5932.9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56</v>
      </c>
      <c r="B3" s="27">
        <v>71.5</v>
      </c>
      <c r="C3" s="24"/>
      <c r="D3" s="11"/>
      <c r="E3" s="1" t="s">
        <v>34</v>
      </c>
      <c r="F3" s="8">
        <v>34143.57</v>
      </c>
      <c r="H3" s="2">
        <f>Zbiorczy!D56</f>
        <v>173772.21</v>
      </c>
      <c r="J3" s="3">
        <f t="shared" ref="J3:J7" si="1">SUMIF($A$3:A$94, K3, B$3:B$94)</f>
        <v>0</v>
      </c>
      <c r="K3" s="1" t="s">
        <v>35</v>
      </c>
      <c r="M3" s="3">
        <f t="shared" ref="M3:M8" si="2">SUMIF($A$3:A$94, N3, B$3:B$94)</f>
        <v>408.37</v>
      </c>
      <c r="N3" s="1" t="s">
        <v>36</v>
      </c>
    </row>
    <row r="4">
      <c r="A4" s="5" t="s">
        <v>56</v>
      </c>
      <c r="B4" s="27">
        <v>81.5</v>
      </c>
      <c r="C4" s="24" t="s">
        <v>769</v>
      </c>
      <c r="D4" s="11"/>
      <c r="E4" s="1" t="s">
        <v>39</v>
      </c>
      <c r="J4" s="3">
        <f t="shared" si="1"/>
        <v>3980</v>
      </c>
      <c r="K4" s="1" t="s">
        <v>40</v>
      </c>
      <c r="M4" s="3">
        <f t="shared" si="2"/>
        <v>167.72</v>
      </c>
      <c r="N4" s="1" t="s">
        <v>41</v>
      </c>
    </row>
    <row r="5">
      <c r="A5" s="5" t="s">
        <v>73</v>
      </c>
      <c r="B5" s="27">
        <v>200.0</v>
      </c>
      <c r="C5" s="24"/>
      <c r="D5" s="11"/>
      <c r="E5" s="1" t="s">
        <v>45</v>
      </c>
      <c r="J5" s="3">
        <f t="shared" si="1"/>
        <v>0</v>
      </c>
      <c r="K5" s="1" t="s">
        <v>46</v>
      </c>
      <c r="M5" s="3">
        <f t="shared" si="2"/>
        <v>103.5</v>
      </c>
      <c r="N5" s="1" t="s">
        <v>47</v>
      </c>
    </row>
    <row r="6">
      <c r="A6" s="5" t="s">
        <v>41</v>
      </c>
      <c r="B6" s="27">
        <v>16.69</v>
      </c>
      <c r="C6" s="24"/>
      <c r="D6" s="11"/>
      <c r="J6" s="3">
        <f t="shared" si="1"/>
        <v>1952.9</v>
      </c>
      <c r="K6" s="1" t="s">
        <v>50</v>
      </c>
      <c r="M6" s="3">
        <f t="shared" si="2"/>
        <v>185.2</v>
      </c>
      <c r="N6" s="1" t="s">
        <v>51</v>
      </c>
    </row>
    <row r="7">
      <c r="A7" s="5" t="s">
        <v>56</v>
      </c>
      <c r="B7" s="27">
        <v>46.99</v>
      </c>
      <c r="C7" s="28"/>
      <c r="D7" s="11"/>
      <c r="J7" s="3">
        <f t="shared" si="1"/>
        <v>0</v>
      </c>
      <c r="K7" s="1" t="s">
        <v>55</v>
      </c>
      <c r="M7" s="3">
        <f t="shared" si="2"/>
        <v>11113.59</v>
      </c>
      <c r="N7" s="1" t="s">
        <v>56</v>
      </c>
    </row>
    <row r="8">
      <c r="A8" s="5" t="s">
        <v>42</v>
      </c>
      <c r="B8" s="27">
        <v>64.0</v>
      </c>
      <c r="C8" s="5"/>
      <c r="D8" s="11"/>
      <c r="M8" s="3">
        <f t="shared" si="2"/>
        <v>103.5</v>
      </c>
      <c r="N8" s="1" t="s">
        <v>47</v>
      </c>
    </row>
    <row r="9">
      <c r="A9" s="5" t="s">
        <v>56</v>
      </c>
      <c r="B9" s="27">
        <v>2.49</v>
      </c>
      <c r="C9" s="24"/>
      <c r="D9" s="11"/>
    </row>
    <row r="10">
      <c r="A10" s="5" t="s">
        <v>47</v>
      </c>
      <c r="B10" s="27">
        <v>30.0</v>
      </c>
      <c r="C10" s="24"/>
      <c r="D10" s="11"/>
    </row>
    <row r="11">
      <c r="A11" s="5" t="s">
        <v>56</v>
      </c>
      <c r="B11" s="27">
        <v>680.13</v>
      </c>
      <c r="C11" s="24" t="s">
        <v>770</v>
      </c>
      <c r="D11" s="11"/>
    </row>
    <row r="12">
      <c r="A12" s="5" t="s">
        <v>37</v>
      </c>
      <c r="B12" s="27">
        <v>4.0</v>
      </c>
      <c r="C12" s="24"/>
      <c r="D12" s="11"/>
    </row>
    <row r="13">
      <c r="A13" s="5" t="s">
        <v>36</v>
      </c>
      <c r="B13" s="24">
        <v>75.0</v>
      </c>
      <c r="C13" s="24"/>
      <c r="D13" s="11"/>
    </row>
    <row r="14">
      <c r="A14" s="5" t="s">
        <v>41</v>
      </c>
      <c r="B14" s="27">
        <v>17.49</v>
      </c>
      <c r="C14" s="24"/>
      <c r="D14" s="11"/>
    </row>
    <row r="15">
      <c r="A15" s="5" t="s">
        <v>56</v>
      </c>
      <c r="B15" s="27">
        <v>425.25</v>
      </c>
      <c r="C15" s="24" t="s">
        <v>771</v>
      </c>
      <c r="D15" s="11"/>
    </row>
    <row r="16">
      <c r="A16" s="5" t="s">
        <v>42</v>
      </c>
      <c r="B16" s="27">
        <v>37.8</v>
      </c>
      <c r="C16" s="24"/>
      <c r="D16" s="11"/>
    </row>
    <row r="17">
      <c r="A17" s="5" t="s">
        <v>42</v>
      </c>
      <c r="B17" s="27">
        <v>24.9</v>
      </c>
      <c r="C17" s="24"/>
      <c r="D17" s="11"/>
    </row>
    <row r="18">
      <c r="A18" s="5" t="s">
        <v>42</v>
      </c>
      <c r="B18" s="27">
        <v>31.8</v>
      </c>
      <c r="C18" s="24"/>
      <c r="D18" s="11"/>
    </row>
    <row r="19">
      <c r="A19" s="5" t="s">
        <v>47</v>
      </c>
      <c r="B19" s="27">
        <v>45.0</v>
      </c>
      <c r="C19" s="24"/>
      <c r="D19" s="11"/>
    </row>
    <row r="20">
      <c r="A20" s="5" t="s">
        <v>56</v>
      </c>
      <c r="B20" s="29">
        <v>39.0</v>
      </c>
      <c r="C20" s="24"/>
      <c r="D20" s="11"/>
    </row>
    <row r="21">
      <c r="A21" s="5" t="s">
        <v>42</v>
      </c>
      <c r="B21" s="27">
        <v>56.0</v>
      </c>
      <c r="C21" s="24"/>
      <c r="D21" s="11"/>
      <c r="E21" s="11"/>
      <c r="F21" s="11"/>
      <c r="G21" s="11"/>
    </row>
    <row r="22">
      <c r="A22" s="5" t="s">
        <v>56</v>
      </c>
      <c r="B22" s="27">
        <v>37.0</v>
      </c>
      <c r="C22" s="24"/>
      <c r="D22" s="11"/>
    </row>
    <row r="23">
      <c r="A23" s="5" t="s">
        <v>80</v>
      </c>
      <c r="B23" s="27">
        <v>15.18</v>
      </c>
      <c r="C23" s="24"/>
      <c r="D23" s="11"/>
    </row>
    <row r="24">
      <c r="A24" s="5" t="s">
        <v>58</v>
      </c>
      <c r="B24" s="27">
        <v>6.4</v>
      </c>
      <c r="C24" s="24"/>
      <c r="D24" s="11"/>
    </row>
    <row r="25">
      <c r="A25" s="5" t="s">
        <v>41</v>
      </c>
      <c r="B25" s="27">
        <v>10.5</v>
      </c>
      <c r="C25" s="24"/>
      <c r="D25" s="11">
        <v>45718.5888162037</v>
      </c>
    </row>
    <row r="26">
      <c r="A26" s="5" t="s">
        <v>42</v>
      </c>
      <c r="B26" s="30">
        <v>21.9</v>
      </c>
      <c r="C26" s="24"/>
      <c r="D26" s="11"/>
    </row>
    <row r="27">
      <c r="A27" s="5" t="s">
        <v>58</v>
      </c>
      <c r="B27" s="30">
        <v>14.99</v>
      </c>
      <c r="C27" s="24"/>
      <c r="D27" s="11"/>
    </row>
    <row r="28">
      <c r="A28" s="5" t="s">
        <v>41</v>
      </c>
      <c r="B28" s="30">
        <v>11.99</v>
      </c>
      <c r="C28" s="24"/>
      <c r="D28" s="11"/>
    </row>
    <row r="29">
      <c r="A29" s="5" t="s">
        <v>73</v>
      </c>
      <c r="B29" s="30">
        <v>200.0</v>
      </c>
      <c r="C29" s="24"/>
      <c r="D29" s="11"/>
    </row>
    <row r="30">
      <c r="A30" s="5" t="s">
        <v>41</v>
      </c>
      <c r="B30" s="30">
        <v>25.88</v>
      </c>
      <c r="C30" s="24"/>
      <c r="D30" s="11"/>
    </row>
    <row r="31">
      <c r="A31" s="5" t="s">
        <v>534</v>
      </c>
      <c r="B31" s="27">
        <v>108.0</v>
      </c>
      <c r="C31" s="24"/>
      <c r="D31" s="11"/>
    </row>
    <row r="32">
      <c r="A32" s="5" t="s">
        <v>36</v>
      </c>
      <c r="B32" s="27">
        <v>28.68</v>
      </c>
      <c r="C32" s="24"/>
      <c r="D32" s="11"/>
    </row>
    <row r="33">
      <c r="A33" s="5" t="s">
        <v>47</v>
      </c>
      <c r="B33" s="27">
        <v>4.0</v>
      </c>
      <c r="C33" s="24"/>
      <c r="D33" s="11"/>
    </row>
    <row r="34">
      <c r="A34" s="5" t="s">
        <v>41</v>
      </c>
      <c r="B34" s="31">
        <v>13.49</v>
      </c>
      <c r="C34" s="24"/>
      <c r="D34" s="11"/>
    </row>
    <row r="35">
      <c r="A35" s="5" t="s">
        <v>42</v>
      </c>
      <c r="B35" s="31">
        <v>75.0</v>
      </c>
      <c r="C35" s="24"/>
      <c r="D35" s="11"/>
    </row>
    <row r="36">
      <c r="A36" s="5" t="s">
        <v>47</v>
      </c>
      <c r="B36" s="27">
        <v>5.0</v>
      </c>
      <c r="C36" s="24"/>
      <c r="D36" s="11"/>
    </row>
    <row r="37">
      <c r="A37" s="5" t="s">
        <v>47</v>
      </c>
      <c r="B37" s="30">
        <v>5.0</v>
      </c>
      <c r="C37" s="24"/>
      <c r="D37" s="11"/>
    </row>
    <row r="38">
      <c r="A38" s="5" t="s">
        <v>47</v>
      </c>
      <c r="B38" s="27">
        <v>10.5</v>
      </c>
      <c r="C38" s="24"/>
      <c r="D38" s="11"/>
    </row>
    <row r="39">
      <c r="A39" s="5" t="s">
        <v>772</v>
      </c>
      <c r="B39" s="32">
        <v>15.9</v>
      </c>
      <c r="C39" s="24"/>
      <c r="D39" s="11"/>
    </row>
    <row r="40">
      <c r="A40" s="5" t="s">
        <v>47</v>
      </c>
      <c r="B40" s="27">
        <v>4.0</v>
      </c>
      <c r="C40" s="24"/>
      <c r="D40" s="11"/>
    </row>
    <row r="41">
      <c r="A41" s="5" t="s">
        <v>37</v>
      </c>
      <c r="B41" s="27">
        <v>4.0</v>
      </c>
      <c r="C41" s="24"/>
      <c r="D41" s="11"/>
    </row>
    <row r="42">
      <c r="A42" s="5" t="s">
        <v>37</v>
      </c>
      <c r="B42" s="27">
        <v>4.0</v>
      </c>
      <c r="C42" s="24"/>
      <c r="D42" s="11"/>
    </row>
    <row r="43">
      <c r="A43" s="5" t="s">
        <v>148</v>
      </c>
      <c r="B43" s="27">
        <v>53.97</v>
      </c>
      <c r="C43" s="24"/>
      <c r="D43" s="11"/>
    </row>
    <row r="44">
      <c r="A44" s="5" t="s">
        <v>36</v>
      </c>
      <c r="B44" s="27">
        <v>12.15</v>
      </c>
      <c r="C44" s="24"/>
      <c r="D44" s="11"/>
    </row>
    <row r="45">
      <c r="A45" s="5" t="s">
        <v>37</v>
      </c>
      <c r="B45" s="27">
        <v>27.0</v>
      </c>
      <c r="C45" s="24"/>
      <c r="D45" s="11"/>
    </row>
    <row r="46">
      <c r="A46" s="5" t="s">
        <v>36</v>
      </c>
      <c r="B46" s="27">
        <v>55.33</v>
      </c>
      <c r="C46" s="24"/>
      <c r="D46" s="11"/>
    </row>
    <row r="47">
      <c r="A47" s="5" t="s">
        <v>148</v>
      </c>
      <c r="B47" s="27">
        <v>7.99</v>
      </c>
      <c r="C47" s="24"/>
      <c r="D47" s="11"/>
    </row>
    <row r="48">
      <c r="A48" s="5" t="s">
        <v>56</v>
      </c>
      <c r="B48" s="27">
        <v>3.0</v>
      </c>
      <c r="C48" s="24"/>
      <c r="D48" s="11"/>
    </row>
    <row r="49">
      <c r="A49" s="5" t="s">
        <v>36</v>
      </c>
      <c r="B49" s="27">
        <v>237.21</v>
      </c>
      <c r="C49" s="24"/>
      <c r="D49" s="11"/>
    </row>
    <row r="50">
      <c r="A50" s="5" t="s">
        <v>56</v>
      </c>
      <c r="B50" s="27">
        <v>1000.0</v>
      </c>
      <c r="C50" s="24" t="s">
        <v>773</v>
      </c>
      <c r="D50" s="11"/>
    </row>
    <row r="51">
      <c r="A51" s="5" t="s">
        <v>50</v>
      </c>
      <c r="B51" s="27">
        <v>99.9</v>
      </c>
      <c r="C51" s="24"/>
      <c r="D51" s="11"/>
    </row>
    <row r="52">
      <c r="A52" s="5" t="s">
        <v>41</v>
      </c>
      <c r="B52" s="27">
        <v>23.99</v>
      </c>
      <c r="C52" s="24"/>
      <c r="D52" s="11"/>
    </row>
    <row r="53">
      <c r="A53" s="5" t="s">
        <v>56</v>
      </c>
      <c r="B53" s="27">
        <v>500.0</v>
      </c>
      <c r="C53" s="24" t="s">
        <v>773</v>
      </c>
      <c r="D53" s="11"/>
    </row>
    <row r="54">
      <c r="A54" s="5" t="s">
        <v>534</v>
      </c>
      <c r="B54" s="27">
        <v>75.0</v>
      </c>
      <c r="C54" s="24" t="s">
        <v>774</v>
      </c>
      <c r="D54" s="11"/>
    </row>
    <row r="55">
      <c r="A55" s="5" t="s">
        <v>41</v>
      </c>
      <c r="B55" s="27">
        <v>20.7</v>
      </c>
      <c r="C55" s="24"/>
      <c r="D55" s="11"/>
    </row>
    <row r="56">
      <c r="A56" s="5" t="s">
        <v>73</v>
      </c>
      <c r="B56" s="27">
        <v>280.0</v>
      </c>
      <c r="C56" s="24"/>
      <c r="D56" s="11"/>
    </row>
    <row r="57">
      <c r="A57" s="5" t="s">
        <v>56</v>
      </c>
      <c r="B57" s="27">
        <v>20.0</v>
      </c>
      <c r="C57" s="24"/>
      <c r="D57" s="11"/>
    </row>
    <row r="58">
      <c r="A58" s="5" t="s">
        <v>148</v>
      </c>
      <c r="B58" s="27">
        <v>282.27</v>
      </c>
      <c r="C58" s="24"/>
      <c r="D58" s="11"/>
    </row>
    <row r="59">
      <c r="A59" s="5" t="s">
        <v>37</v>
      </c>
      <c r="B59" s="27">
        <v>4.0</v>
      </c>
      <c r="C59" s="24"/>
      <c r="D59" s="11"/>
    </row>
    <row r="60">
      <c r="A60" s="5" t="s">
        <v>56</v>
      </c>
      <c r="B60" s="27">
        <v>3.99</v>
      </c>
      <c r="C60" s="24"/>
      <c r="D60" s="11"/>
    </row>
    <row r="61">
      <c r="A61" s="5" t="s">
        <v>37</v>
      </c>
      <c r="B61" s="24">
        <v>4.0</v>
      </c>
      <c r="C61" s="24"/>
      <c r="D61" s="11"/>
    </row>
    <row r="62">
      <c r="A62" s="5" t="s">
        <v>56</v>
      </c>
      <c r="B62" s="24">
        <v>36.2</v>
      </c>
      <c r="C62" s="24"/>
      <c r="D62" s="11"/>
    </row>
    <row r="63">
      <c r="A63" s="5" t="s">
        <v>37</v>
      </c>
      <c r="B63" s="24">
        <v>4.0</v>
      </c>
      <c r="C63" s="24"/>
      <c r="D63" s="11"/>
    </row>
    <row r="64">
      <c r="A64" s="5" t="s">
        <v>37</v>
      </c>
      <c r="B64" s="24">
        <v>4.0</v>
      </c>
      <c r="C64" s="24"/>
      <c r="D64" s="11"/>
    </row>
    <row r="65">
      <c r="A65" s="5" t="s">
        <v>56</v>
      </c>
      <c r="B65" s="24">
        <v>200.0</v>
      </c>
      <c r="C65" s="24"/>
      <c r="D65" s="11"/>
    </row>
    <row r="66">
      <c r="A66" s="5" t="s">
        <v>56</v>
      </c>
      <c r="B66" s="24">
        <v>500.0</v>
      </c>
      <c r="C66" s="24" t="s">
        <v>773</v>
      </c>
      <c r="D66" s="11"/>
    </row>
    <row r="67">
      <c r="A67" s="5" t="s">
        <v>56</v>
      </c>
      <c r="B67" s="24">
        <v>12.0</v>
      </c>
      <c r="C67" s="24"/>
      <c r="D67" s="11"/>
    </row>
    <row r="68">
      <c r="A68" s="5" t="s">
        <v>37</v>
      </c>
      <c r="B68" s="24">
        <v>16.0</v>
      </c>
      <c r="C68" s="24"/>
      <c r="D68" s="11"/>
    </row>
    <row r="69">
      <c r="A69" s="5" t="s">
        <v>37</v>
      </c>
      <c r="B69" s="24">
        <v>16.0</v>
      </c>
      <c r="C69" s="24"/>
      <c r="D69" s="11"/>
    </row>
    <row r="70">
      <c r="A70" s="5" t="s">
        <v>41</v>
      </c>
      <c r="B70" s="24">
        <v>10.5</v>
      </c>
      <c r="C70" s="24"/>
      <c r="D70" s="11"/>
    </row>
    <row r="71">
      <c r="A71" s="5" t="s">
        <v>37</v>
      </c>
      <c r="B71" s="24">
        <v>16.0</v>
      </c>
      <c r="C71" s="24"/>
      <c r="D71" s="11"/>
    </row>
    <row r="72">
      <c r="A72" s="5" t="s">
        <v>37</v>
      </c>
      <c r="B72" s="24">
        <v>16.0</v>
      </c>
      <c r="C72" s="24"/>
      <c r="D72" s="11"/>
    </row>
    <row r="73">
      <c r="A73" s="5" t="s">
        <v>56</v>
      </c>
      <c r="B73" s="24">
        <v>1500.0</v>
      </c>
      <c r="C73" s="24" t="s">
        <v>773</v>
      </c>
      <c r="D73" s="11"/>
    </row>
    <row r="74">
      <c r="A74" s="5" t="s">
        <v>41</v>
      </c>
      <c r="B74" s="24">
        <v>11.99</v>
      </c>
      <c r="C74" s="24"/>
      <c r="D74" s="11"/>
    </row>
    <row r="75">
      <c r="A75" s="5" t="s">
        <v>50</v>
      </c>
      <c r="B75" s="24">
        <v>1480.0</v>
      </c>
      <c r="C75" s="24"/>
      <c r="D75" s="11"/>
    </row>
    <row r="76">
      <c r="A76" s="5" t="s">
        <v>56</v>
      </c>
      <c r="B76" s="24">
        <v>200.0</v>
      </c>
      <c r="C76" s="24" t="s">
        <v>773</v>
      </c>
      <c r="D76" s="11"/>
    </row>
    <row r="77">
      <c r="A77" s="5" t="s">
        <v>56</v>
      </c>
      <c r="B77" s="24">
        <v>417.0</v>
      </c>
      <c r="C77" s="24" t="s">
        <v>773</v>
      </c>
      <c r="D77" s="11">
        <v>45718.58874865741</v>
      </c>
    </row>
    <row r="78">
      <c r="A78" s="5" t="s">
        <v>73</v>
      </c>
      <c r="B78" s="24">
        <v>200.0</v>
      </c>
      <c r="C78" s="24"/>
      <c r="D78" s="11"/>
    </row>
    <row r="79">
      <c r="A79" s="5" t="s">
        <v>50</v>
      </c>
      <c r="B79" s="24">
        <v>373.0</v>
      </c>
      <c r="C79" s="24"/>
      <c r="D79" s="11"/>
    </row>
    <row r="80">
      <c r="A80" s="5" t="s">
        <v>56</v>
      </c>
      <c r="B80" s="24">
        <v>35.0</v>
      </c>
      <c r="C80" s="24"/>
      <c r="D80" s="25"/>
    </row>
    <row r="81">
      <c r="A81" s="5" t="s">
        <v>56</v>
      </c>
      <c r="B81" s="24">
        <v>549.0</v>
      </c>
      <c r="C81" s="24" t="s">
        <v>775</v>
      </c>
      <c r="D81" s="25"/>
    </row>
    <row r="82">
      <c r="A82" s="5" t="s">
        <v>56</v>
      </c>
      <c r="B82" s="24">
        <v>317.19</v>
      </c>
      <c r="C82" s="24" t="s">
        <v>773</v>
      </c>
      <c r="D82" s="25"/>
    </row>
    <row r="83">
      <c r="A83" s="5" t="s">
        <v>56</v>
      </c>
      <c r="B83" s="24">
        <v>1181.39</v>
      </c>
      <c r="C83" s="24" t="s">
        <v>773</v>
      </c>
      <c r="D83" s="11">
        <v>45718.67068484954</v>
      </c>
    </row>
    <row r="84">
      <c r="A84" s="5" t="s">
        <v>56</v>
      </c>
      <c r="B84" s="24">
        <v>1366.12</v>
      </c>
      <c r="C84" s="24" t="s">
        <v>773</v>
      </c>
      <c r="D84" s="25"/>
    </row>
    <row r="85">
      <c r="A85" s="5" t="s">
        <v>42</v>
      </c>
      <c r="B85" s="24">
        <v>21.9</v>
      </c>
      <c r="C85" s="24"/>
      <c r="D85" s="25"/>
    </row>
    <row r="86">
      <c r="A86" s="5" t="s">
        <v>56</v>
      </c>
      <c r="B86" s="24">
        <v>653.06</v>
      </c>
      <c r="C86" s="24" t="s">
        <v>773</v>
      </c>
      <c r="D86" s="25"/>
    </row>
    <row r="87">
      <c r="A87" s="5" t="s">
        <v>37</v>
      </c>
      <c r="B87" s="24">
        <v>4.0</v>
      </c>
      <c r="C87" s="24"/>
      <c r="D87" s="25"/>
    </row>
    <row r="88">
      <c r="A88" s="5" t="s">
        <v>37</v>
      </c>
      <c r="B88" s="24">
        <v>4.0</v>
      </c>
      <c r="C88" s="24"/>
      <c r="D88" s="25"/>
    </row>
    <row r="89">
      <c r="A89" s="5" t="s">
        <v>41</v>
      </c>
      <c r="B89" s="24">
        <v>4.5</v>
      </c>
      <c r="C89" s="24"/>
      <c r="D89" s="25"/>
    </row>
    <row r="90">
      <c r="A90" s="5" t="s">
        <v>307</v>
      </c>
      <c r="B90" s="24">
        <v>469.99</v>
      </c>
      <c r="C90" s="13"/>
      <c r="D90" s="11"/>
    </row>
    <row r="91">
      <c r="A91" s="5" t="s">
        <v>56</v>
      </c>
      <c r="B91" s="24">
        <v>1014.19</v>
      </c>
      <c r="C91" s="24" t="s">
        <v>773</v>
      </c>
      <c r="D91" s="11"/>
    </row>
    <row r="92">
      <c r="A92" s="5" t="s">
        <v>56</v>
      </c>
      <c r="B92" s="24">
        <v>221.59</v>
      </c>
      <c r="C92" s="13"/>
      <c r="D92" s="11"/>
    </row>
    <row r="93">
      <c r="A93" s="5" t="s">
        <v>51</v>
      </c>
      <c r="B93" s="24">
        <v>185.2</v>
      </c>
      <c r="C93" s="13"/>
      <c r="D93" s="25"/>
    </row>
    <row r="94">
      <c r="A94" s="5" t="s">
        <v>40</v>
      </c>
      <c r="B94" s="24">
        <v>3980.0</v>
      </c>
      <c r="C94" s="13"/>
      <c r="D94" s="25"/>
    </row>
    <row r="95">
      <c r="A95" s="5" t="s">
        <v>46</v>
      </c>
      <c r="B95" s="24">
        <v>6088.0</v>
      </c>
      <c r="C95" s="13"/>
      <c r="D95" s="25"/>
    </row>
    <row r="96">
      <c r="A96" s="5" t="s">
        <v>51</v>
      </c>
      <c r="B96" s="24">
        <v>34.16</v>
      </c>
      <c r="C96" s="13"/>
      <c r="D96" s="25"/>
    </row>
    <row r="97">
      <c r="A97" s="5" t="s">
        <v>51</v>
      </c>
      <c r="B97" s="24">
        <v>251.43</v>
      </c>
      <c r="C97" s="13"/>
      <c r="D97" s="25"/>
    </row>
    <row r="98">
      <c r="A98" s="5" t="s">
        <v>51</v>
      </c>
      <c r="B98" s="24">
        <v>250.6</v>
      </c>
      <c r="C98" s="13"/>
      <c r="D98" s="25"/>
    </row>
    <row r="99">
      <c r="A99" s="5" t="s">
        <v>40</v>
      </c>
      <c r="B99" s="24">
        <v>12.0</v>
      </c>
      <c r="C99" s="13"/>
      <c r="D99" s="25"/>
    </row>
    <row r="100">
      <c r="A100" s="5" t="s">
        <v>201</v>
      </c>
      <c r="B100" s="24">
        <v>3213.25</v>
      </c>
      <c r="C100" s="13"/>
      <c r="D100" s="25"/>
    </row>
    <row r="101">
      <c r="A101" s="5" t="s">
        <v>51</v>
      </c>
      <c r="B101" s="24">
        <v>186.86</v>
      </c>
      <c r="C101" s="13"/>
      <c r="D101" s="25"/>
    </row>
    <row r="102">
      <c r="A102" s="5" t="s">
        <v>51</v>
      </c>
      <c r="B102" s="24">
        <v>210.23</v>
      </c>
      <c r="C102" s="13"/>
      <c r="D102" s="25"/>
    </row>
    <row r="103">
      <c r="A103" s="5" t="s">
        <v>47</v>
      </c>
      <c r="B103" s="24">
        <v>50.0</v>
      </c>
      <c r="C103" s="13"/>
      <c r="D103" s="25"/>
    </row>
    <row r="104">
      <c r="A104" s="5" t="s">
        <v>56</v>
      </c>
      <c r="B104" s="24">
        <v>279.0</v>
      </c>
      <c r="C104" s="13"/>
      <c r="D104" s="25"/>
    </row>
    <row r="105">
      <c r="A105" s="5" t="s">
        <v>51</v>
      </c>
      <c r="B105" s="24">
        <v>178.34</v>
      </c>
      <c r="C105" s="13"/>
      <c r="D105" s="25"/>
    </row>
    <row r="106">
      <c r="A106" s="5" t="s">
        <v>51</v>
      </c>
      <c r="B106" s="24">
        <v>202.06</v>
      </c>
      <c r="C106" s="13"/>
    </row>
    <row r="107">
      <c r="A107" s="5" t="s">
        <v>58</v>
      </c>
      <c r="B107" s="24">
        <v>82.29</v>
      </c>
      <c r="C107" s="13"/>
    </row>
    <row r="108">
      <c r="A108" s="5" t="s">
        <v>58</v>
      </c>
      <c r="B108" s="24">
        <v>246.0</v>
      </c>
      <c r="C108" s="13"/>
    </row>
    <row r="109">
      <c r="A109" s="5" t="s">
        <v>47</v>
      </c>
      <c r="B109" s="24">
        <v>2330.28</v>
      </c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  <c r="N122" s="8"/>
    </row>
    <row r="123">
      <c r="A123" s="12"/>
      <c r="B123" s="13"/>
      <c r="C123" s="13"/>
      <c r="N123" s="8"/>
    </row>
    <row r="124">
      <c r="A124" s="12"/>
      <c r="B124" s="13"/>
      <c r="C124" s="13"/>
      <c r="N124" s="8"/>
    </row>
    <row r="125">
      <c r="A125" s="12"/>
      <c r="B125" s="13"/>
      <c r="C125" s="13"/>
      <c r="N125" s="8"/>
    </row>
    <row r="126">
      <c r="A126" s="12"/>
      <c r="B126" s="13"/>
      <c r="C126" s="13"/>
      <c r="N126" s="8"/>
    </row>
    <row r="127">
      <c r="A127" s="12"/>
      <c r="B127" s="13"/>
      <c r="C127" s="13"/>
      <c r="N127" s="8"/>
    </row>
    <row r="128">
      <c r="A128" s="12"/>
      <c r="B128" s="13"/>
      <c r="C128" s="13"/>
      <c r="N128" s="8"/>
    </row>
    <row r="129">
      <c r="A129" s="12"/>
      <c r="B129" s="13"/>
      <c r="C129" s="13"/>
      <c r="N129" s="8"/>
    </row>
    <row r="130">
      <c r="A130" s="12"/>
      <c r="B130" s="13"/>
      <c r="C130" s="13"/>
      <c r="N130" s="8"/>
    </row>
    <row r="131">
      <c r="A131" s="12"/>
      <c r="B131" s="13"/>
      <c r="C131" s="13"/>
      <c r="N131" s="8"/>
    </row>
    <row r="132">
      <c r="A132" s="12"/>
      <c r="B132" s="13"/>
      <c r="C132" s="13"/>
      <c r="N132" s="8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</sheetData>
  <customSheetViews>
    <customSheetView guid="{DB56FE4D-69BC-4E44-A2B9-5F7BA227A86E}" filter="1" showAutoFilter="1">
      <autoFilter ref="$A$2:$D$109">
        <sortState ref="A2:D109">
          <sortCondition ref="D2:D109"/>
          <sortCondition ref="B2:B109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105">
    <cfRule type="notContainsBlanks" dxfId="0" priority="2">
      <formula>LEN(TRIM(D3))&gt;0</formula>
    </cfRule>
  </conditionalFormatting>
  <dataValidations>
    <dataValidation type="list" allowBlank="1" sqref="A3:A119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SUM(J3:J995)</f>
        <v>11584.33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58</v>
      </c>
      <c r="B3" s="27">
        <v>347.16</v>
      </c>
      <c r="C3" s="24"/>
      <c r="D3" s="11"/>
      <c r="E3" s="1" t="s">
        <v>34</v>
      </c>
      <c r="F3" s="8">
        <v>29217.42</v>
      </c>
      <c r="H3" s="2">
        <f>Zbiorczy!D55</f>
        <v>172804.36</v>
      </c>
      <c r="J3" s="3">
        <f t="shared" ref="J3:J7" si="1">SUMIF($A$3:A$94, K3, B$3:B$94)</f>
        <v>1312.71</v>
      </c>
      <c r="K3" s="1" t="s">
        <v>35</v>
      </c>
      <c r="M3" s="3">
        <f t="shared" ref="M3:M8" si="2">SUMIF($A$3:A$94, N3, B$3:B$94)</f>
        <v>1471.65</v>
      </c>
      <c r="N3" s="1" t="s">
        <v>36</v>
      </c>
    </row>
    <row r="4">
      <c r="A4" s="5" t="s">
        <v>51</v>
      </c>
      <c r="B4" s="27">
        <v>251.16</v>
      </c>
      <c r="C4" s="24"/>
      <c r="D4" s="11"/>
      <c r="E4" s="1" t="s">
        <v>39</v>
      </c>
      <c r="J4" s="3">
        <f t="shared" si="1"/>
        <v>3176</v>
      </c>
      <c r="K4" s="1" t="s">
        <v>40</v>
      </c>
      <c r="M4" s="3">
        <f t="shared" si="2"/>
        <v>64.27</v>
      </c>
      <c r="N4" s="1" t="s">
        <v>41</v>
      </c>
    </row>
    <row r="5">
      <c r="A5" s="5" t="s">
        <v>51</v>
      </c>
      <c r="B5" s="27">
        <v>197.1</v>
      </c>
      <c r="C5" s="24"/>
      <c r="D5" s="11"/>
      <c r="E5" s="1" t="s">
        <v>45</v>
      </c>
      <c r="J5" s="3">
        <f t="shared" si="1"/>
        <v>5062</v>
      </c>
      <c r="K5" s="1" t="s">
        <v>46</v>
      </c>
      <c r="M5" s="3">
        <f t="shared" si="2"/>
        <v>2341.37</v>
      </c>
      <c r="N5" s="1" t="s">
        <v>47</v>
      </c>
    </row>
    <row r="6">
      <c r="A6" s="5" t="s">
        <v>46</v>
      </c>
      <c r="B6" s="27">
        <v>5062.0</v>
      </c>
      <c r="C6" s="24"/>
      <c r="D6" s="11"/>
      <c r="J6" s="3">
        <f t="shared" si="1"/>
        <v>2033.62</v>
      </c>
      <c r="K6" s="1" t="s">
        <v>50</v>
      </c>
      <c r="M6" s="3">
        <f t="shared" si="2"/>
        <v>448.26</v>
      </c>
      <c r="N6" s="1" t="s">
        <v>51</v>
      </c>
    </row>
    <row r="7">
      <c r="A7" s="5" t="s">
        <v>40</v>
      </c>
      <c r="B7" s="27">
        <v>3164.0</v>
      </c>
      <c r="C7" s="28"/>
      <c r="D7" s="11"/>
      <c r="J7" s="3">
        <f t="shared" si="1"/>
        <v>0</v>
      </c>
      <c r="K7" s="1" t="s">
        <v>55</v>
      </c>
      <c r="M7" s="3">
        <f t="shared" si="2"/>
        <v>9473.89</v>
      </c>
      <c r="N7" s="1" t="s">
        <v>56</v>
      </c>
    </row>
    <row r="8">
      <c r="A8" s="5" t="s">
        <v>56</v>
      </c>
      <c r="B8" s="27">
        <v>870.0</v>
      </c>
      <c r="C8" s="5"/>
      <c r="D8" s="11"/>
      <c r="M8" s="3">
        <f t="shared" si="2"/>
        <v>2341.37</v>
      </c>
      <c r="N8" s="1" t="s">
        <v>47</v>
      </c>
    </row>
    <row r="9">
      <c r="A9" s="5" t="s">
        <v>40</v>
      </c>
      <c r="B9" s="27">
        <v>12.0</v>
      </c>
      <c r="C9" s="24"/>
      <c r="D9" s="11"/>
    </row>
    <row r="10">
      <c r="A10" s="5" t="s">
        <v>201</v>
      </c>
      <c r="B10" s="27">
        <v>1312.71</v>
      </c>
      <c r="C10" s="24"/>
      <c r="D10" s="11"/>
    </row>
    <row r="11">
      <c r="A11" s="5" t="s">
        <v>37</v>
      </c>
      <c r="B11" s="27">
        <v>70.0</v>
      </c>
      <c r="C11" s="24"/>
      <c r="D11" s="11"/>
    </row>
    <row r="12">
      <c r="A12" s="5" t="s">
        <v>37</v>
      </c>
      <c r="B12" s="27">
        <v>70.0</v>
      </c>
      <c r="C12" s="24"/>
      <c r="D12" s="11"/>
    </row>
    <row r="13">
      <c r="A13" s="5" t="s">
        <v>58</v>
      </c>
      <c r="B13" s="24">
        <v>82.29</v>
      </c>
      <c r="C13" s="24"/>
      <c r="D13" s="11"/>
    </row>
    <row r="14">
      <c r="A14" s="5" t="s">
        <v>47</v>
      </c>
      <c r="B14" s="27">
        <v>2329.37</v>
      </c>
      <c r="C14" s="24"/>
      <c r="D14" s="11"/>
    </row>
    <row r="15">
      <c r="A15" s="5" t="s">
        <v>58</v>
      </c>
      <c r="B15" s="27">
        <v>104.2</v>
      </c>
      <c r="C15" s="24"/>
      <c r="D15" s="11"/>
    </row>
    <row r="16">
      <c r="A16" s="5" t="s">
        <v>56</v>
      </c>
      <c r="B16" s="27">
        <v>15.0</v>
      </c>
      <c r="C16" s="24"/>
      <c r="D16" s="11"/>
    </row>
    <row r="17">
      <c r="A17" s="5" t="s">
        <v>42</v>
      </c>
      <c r="B17" s="27">
        <v>199.0</v>
      </c>
      <c r="C17" s="24"/>
      <c r="D17" s="11"/>
    </row>
    <row r="18">
      <c r="A18" s="5" t="s">
        <v>41</v>
      </c>
      <c r="B18" s="27">
        <v>7.9</v>
      </c>
      <c r="C18" s="24"/>
      <c r="D18" s="11"/>
    </row>
    <row r="19">
      <c r="A19" s="5" t="s">
        <v>56</v>
      </c>
      <c r="B19" s="27">
        <v>130.0</v>
      </c>
      <c r="C19" s="24"/>
      <c r="D19" s="11"/>
    </row>
    <row r="20">
      <c r="A20" s="5" t="s">
        <v>41</v>
      </c>
      <c r="B20" s="29">
        <v>4.5</v>
      </c>
      <c r="C20" s="24"/>
      <c r="D20" s="11"/>
    </row>
    <row r="21">
      <c r="A21" s="5" t="s">
        <v>56</v>
      </c>
      <c r="B21" s="27">
        <v>1300.0</v>
      </c>
      <c r="C21" s="24" t="s">
        <v>776</v>
      </c>
      <c r="D21" s="11"/>
      <c r="E21" s="11"/>
      <c r="F21" s="11"/>
      <c r="G21" s="11"/>
    </row>
    <row r="22">
      <c r="A22" s="5" t="s">
        <v>56</v>
      </c>
      <c r="B22" s="27">
        <v>500.0</v>
      </c>
      <c r="C22" s="24" t="s">
        <v>776</v>
      </c>
      <c r="D22" s="11"/>
    </row>
    <row r="23">
      <c r="A23" s="5" t="s">
        <v>42</v>
      </c>
      <c r="B23" s="27">
        <v>54.75</v>
      </c>
      <c r="C23" s="24"/>
      <c r="D23" s="11"/>
    </row>
    <row r="24">
      <c r="A24" s="5" t="s">
        <v>56</v>
      </c>
      <c r="B24" s="27">
        <v>200.0</v>
      </c>
      <c r="C24" s="24"/>
      <c r="D24" s="11"/>
    </row>
    <row r="25">
      <c r="A25" s="5" t="s">
        <v>41</v>
      </c>
      <c r="B25" s="27">
        <v>7.9</v>
      </c>
      <c r="C25" s="24"/>
      <c r="D25" s="11">
        <v>45718.5888162037</v>
      </c>
    </row>
    <row r="26">
      <c r="A26" s="5" t="s">
        <v>56</v>
      </c>
      <c r="B26" s="30">
        <v>500.0</v>
      </c>
      <c r="C26" s="24" t="s">
        <v>777</v>
      </c>
      <c r="D26" s="11"/>
    </row>
    <row r="27">
      <c r="A27" s="5" t="s">
        <v>73</v>
      </c>
      <c r="B27" s="30">
        <v>400.0</v>
      </c>
      <c r="C27" s="24"/>
      <c r="D27" s="11"/>
    </row>
    <row r="28">
      <c r="A28" s="5" t="s">
        <v>80</v>
      </c>
      <c r="B28" s="30">
        <v>64.48</v>
      </c>
      <c r="C28" s="24"/>
      <c r="D28" s="11"/>
    </row>
    <row r="29">
      <c r="A29" s="5" t="s">
        <v>47</v>
      </c>
      <c r="B29" s="30">
        <v>5.0</v>
      </c>
      <c r="C29" s="24"/>
      <c r="D29" s="11"/>
    </row>
    <row r="30">
      <c r="A30" s="5" t="s">
        <v>47</v>
      </c>
      <c r="B30" s="30">
        <v>2.0</v>
      </c>
      <c r="C30" s="24"/>
      <c r="D30" s="11"/>
    </row>
    <row r="31">
      <c r="A31" s="5" t="s">
        <v>47</v>
      </c>
      <c r="B31" s="27">
        <v>5.0</v>
      </c>
      <c r="C31" s="24"/>
      <c r="D31" s="11"/>
    </row>
    <row r="32">
      <c r="A32" s="5" t="s">
        <v>50</v>
      </c>
      <c r="B32" s="27">
        <v>103.72</v>
      </c>
      <c r="C32" s="24"/>
      <c r="D32" s="11"/>
    </row>
    <row r="33">
      <c r="A33" s="5" t="s">
        <v>56</v>
      </c>
      <c r="B33" s="27">
        <v>64.0</v>
      </c>
      <c r="C33" s="24"/>
      <c r="D33" s="11"/>
    </row>
    <row r="34">
      <c r="A34" s="5" t="s">
        <v>56</v>
      </c>
      <c r="B34" s="31">
        <v>35.99</v>
      </c>
      <c r="C34" s="24"/>
      <c r="D34" s="11"/>
    </row>
    <row r="35">
      <c r="A35" s="5" t="s">
        <v>37</v>
      </c>
      <c r="B35" s="31">
        <v>4.0</v>
      </c>
      <c r="C35" s="24"/>
      <c r="D35" s="11"/>
    </row>
    <row r="36">
      <c r="A36" s="5" t="s">
        <v>37</v>
      </c>
      <c r="B36" s="27">
        <v>4.0</v>
      </c>
      <c r="C36" s="24"/>
      <c r="D36" s="11"/>
    </row>
    <row r="37">
      <c r="A37" s="5" t="s">
        <v>56</v>
      </c>
      <c r="B37" s="30">
        <v>62.0</v>
      </c>
      <c r="C37" s="24"/>
      <c r="D37" s="11"/>
    </row>
    <row r="38">
      <c r="A38" s="5" t="s">
        <v>41</v>
      </c>
      <c r="B38" s="27">
        <v>9.49</v>
      </c>
      <c r="C38" s="24"/>
      <c r="D38" s="11"/>
    </row>
    <row r="39">
      <c r="A39" s="5" t="s">
        <v>56</v>
      </c>
      <c r="B39" s="32">
        <v>59.78</v>
      </c>
      <c r="C39" s="24"/>
      <c r="D39" s="11"/>
    </row>
    <row r="40">
      <c r="A40" s="5" t="s">
        <v>534</v>
      </c>
      <c r="B40" s="27">
        <v>107.89</v>
      </c>
      <c r="C40" s="24"/>
      <c r="D40" s="11"/>
    </row>
    <row r="41">
      <c r="A41" s="5" t="s">
        <v>56</v>
      </c>
      <c r="B41" s="27">
        <v>600.0</v>
      </c>
      <c r="C41" s="24"/>
      <c r="D41" s="11"/>
    </row>
    <row r="42">
      <c r="A42" s="5" t="s">
        <v>56</v>
      </c>
      <c r="B42" s="27">
        <v>39.0</v>
      </c>
      <c r="C42" s="24"/>
      <c r="D42" s="11"/>
    </row>
    <row r="43">
      <c r="A43" s="5" t="s">
        <v>148</v>
      </c>
      <c r="B43" s="27">
        <v>29.9</v>
      </c>
      <c r="C43" s="24"/>
      <c r="D43" s="11"/>
    </row>
    <row r="44">
      <c r="A44" s="5" t="s">
        <v>58</v>
      </c>
      <c r="B44" s="27">
        <v>14.99</v>
      </c>
      <c r="C44" s="24"/>
      <c r="D44" s="11"/>
    </row>
    <row r="45">
      <c r="A45" s="5" t="s">
        <v>37</v>
      </c>
      <c r="B45" s="27">
        <v>4.0</v>
      </c>
      <c r="C45" s="24"/>
      <c r="D45" s="11"/>
    </row>
    <row r="46">
      <c r="A46" s="5" t="s">
        <v>73</v>
      </c>
      <c r="B46" s="27">
        <v>200.0</v>
      </c>
      <c r="C46" s="24"/>
      <c r="D46" s="11"/>
    </row>
    <row r="47">
      <c r="A47" s="5" t="s">
        <v>148</v>
      </c>
      <c r="B47" s="27">
        <v>31.99</v>
      </c>
      <c r="C47" s="24"/>
      <c r="D47" s="11"/>
    </row>
    <row r="48">
      <c r="A48" s="5" t="s">
        <v>37</v>
      </c>
      <c r="B48" s="27">
        <v>4.0</v>
      </c>
      <c r="C48" s="24"/>
      <c r="D48" s="11"/>
    </row>
    <row r="49">
      <c r="A49" s="5" t="s">
        <v>37</v>
      </c>
      <c r="B49" s="27">
        <v>4.0</v>
      </c>
      <c r="C49" s="24"/>
      <c r="D49" s="11"/>
    </row>
    <row r="50">
      <c r="A50" s="5" t="s">
        <v>50</v>
      </c>
      <c r="B50" s="27">
        <v>99.9</v>
      </c>
      <c r="C50" s="24"/>
      <c r="D50" s="11"/>
    </row>
    <row r="51">
      <c r="A51" s="5" t="s">
        <v>56</v>
      </c>
      <c r="B51" s="27">
        <v>200.0</v>
      </c>
      <c r="C51" s="24"/>
      <c r="D51" s="11"/>
    </row>
    <row r="52">
      <c r="A52" s="5" t="s">
        <v>148</v>
      </c>
      <c r="B52" s="27">
        <v>186.78</v>
      </c>
      <c r="C52" s="24"/>
      <c r="D52" s="11"/>
    </row>
    <row r="53">
      <c r="A53" s="5" t="s">
        <v>73</v>
      </c>
      <c r="B53" s="27">
        <v>239.99</v>
      </c>
      <c r="C53" s="24"/>
      <c r="D53" s="11"/>
    </row>
    <row r="54">
      <c r="A54" s="5" t="s">
        <v>56</v>
      </c>
      <c r="B54" s="27">
        <v>3865.0</v>
      </c>
      <c r="C54" s="24" t="s">
        <v>776</v>
      </c>
      <c r="D54" s="11"/>
    </row>
    <row r="55">
      <c r="A55" s="5" t="s">
        <v>42</v>
      </c>
      <c r="B55" s="27">
        <v>168.49</v>
      </c>
      <c r="C55" s="24"/>
      <c r="D55" s="11"/>
    </row>
    <row r="56">
      <c r="A56" s="5" t="s">
        <v>36</v>
      </c>
      <c r="B56" s="27">
        <v>180.18</v>
      </c>
      <c r="C56" s="24"/>
      <c r="D56" s="11"/>
    </row>
    <row r="57">
      <c r="A57" s="5" t="s">
        <v>56</v>
      </c>
      <c r="B57" s="27">
        <v>46.18</v>
      </c>
      <c r="C57" s="24"/>
      <c r="D57" s="11"/>
    </row>
    <row r="58">
      <c r="A58" s="5" t="s">
        <v>56</v>
      </c>
      <c r="B58" s="27">
        <v>46.18</v>
      </c>
      <c r="C58" s="24"/>
      <c r="D58" s="11"/>
    </row>
    <row r="59">
      <c r="A59" s="5" t="s">
        <v>56</v>
      </c>
      <c r="B59" s="27">
        <v>60.9</v>
      </c>
      <c r="C59" s="24"/>
      <c r="D59" s="11"/>
    </row>
    <row r="60">
      <c r="A60" s="5" t="s">
        <v>73</v>
      </c>
      <c r="B60" s="27">
        <v>200.0</v>
      </c>
      <c r="C60" s="24"/>
      <c r="D60" s="11"/>
    </row>
    <row r="61">
      <c r="A61" s="5" t="s">
        <v>534</v>
      </c>
      <c r="B61" s="24">
        <v>261.89</v>
      </c>
      <c r="C61" s="24"/>
      <c r="D61" s="11"/>
    </row>
    <row r="62">
      <c r="A62" s="5" t="s">
        <v>56</v>
      </c>
      <c r="B62" s="24">
        <v>3.0</v>
      </c>
      <c r="C62" s="24"/>
      <c r="D62" s="11"/>
    </row>
    <row r="63">
      <c r="A63" s="5" t="s">
        <v>36</v>
      </c>
      <c r="B63" s="24">
        <v>1000.0</v>
      </c>
      <c r="C63" s="24"/>
      <c r="D63" s="11"/>
    </row>
    <row r="64">
      <c r="A64" s="5" t="s">
        <v>37</v>
      </c>
      <c r="B64" s="24">
        <v>4.0</v>
      </c>
      <c r="C64" s="24"/>
      <c r="D64" s="11"/>
    </row>
    <row r="65">
      <c r="A65" s="5" t="s">
        <v>37</v>
      </c>
      <c r="B65" s="24">
        <v>4.0</v>
      </c>
      <c r="C65" s="24"/>
      <c r="D65" s="11"/>
    </row>
    <row r="66">
      <c r="A66" s="5" t="s">
        <v>36</v>
      </c>
      <c r="B66" s="24">
        <v>85.0</v>
      </c>
      <c r="C66" s="24"/>
      <c r="D66" s="11"/>
    </row>
    <row r="67">
      <c r="A67" s="5" t="s">
        <v>36</v>
      </c>
      <c r="B67" s="24">
        <v>206.47</v>
      </c>
      <c r="C67" s="24"/>
      <c r="D67" s="11"/>
    </row>
    <row r="68">
      <c r="A68" s="5" t="s">
        <v>50</v>
      </c>
      <c r="B68" s="24">
        <v>1480.0</v>
      </c>
      <c r="C68" s="24"/>
      <c r="D68" s="11"/>
    </row>
    <row r="69">
      <c r="A69" s="5" t="s">
        <v>56</v>
      </c>
      <c r="B69" s="24">
        <v>25.0</v>
      </c>
      <c r="C69" s="24"/>
      <c r="D69" s="11"/>
    </row>
    <row r="70">
      <c r="A70" s="5" t="s">
        <v>56</v>
      </c>
      <c r="B70" s="24">
        <v>93.0</v>
      </c>
      <c r="C70" s="24"/>
      <c r="D70" s="11"/>
    </row>
    <row r="71">
      <c r="A71" s="5" t="s">
        <v>56</v>
      </c>
      <c r="B71" s="24">
        <v>152.96</v>
      </c>
      <c r="C71" s="24"/>
      <c r="D71" s="11"/>
    </row>
    <row r="72">
      <c r="A72" s="5" t="s">
        <v>56</v>
      </c>
      <c r="B72" s="24">
        <v>11.9</v>
      </c>
      <c r="C72" s="24"/>
      <c r="D72" s="11"/>
    </row>
    <row r="73">
      <c r="A73" s="5" t="s">
        <v>50</v>
      </c>
      <c r="B73" s="24">
        <v>350.0</v>
      </c>
      <c r="C73" s="24"/>
      <c r="D73" s="11"/>
    </row>
    <row r="74">
      <c r="A74" s="5" t="s">
        <v>37</v>
      </c>
      <c r="B74" s="24">
        <v>4.0</v>
      </c>
      <c r="C74" s="24"/>
      <c r="D74" s="11"/>
    </row>
    <row r="75">
      <c r="A75" s="5" t="s">
        <v>56</v>
      </c>
      <c r="B75" s="24">
        <v>94.0</v>
      </c>
      <c r="C75" s="24"/>
      <c r="D75" s="11"/>
    </row>
    <row r="76">
      <c r="A76" s="5" t="s">
        <v>41</v>
      </c>
      <c r="B76" s="24">
        <v>9.88</v>
      </c>
      <c r="C76" s="24"/>
      <c r="D76" s="11"/>
    </row>
    <row r="77">
      <c r="A77" s="5" t="s">
        <v>41</v>
      </c>
      <c r="B77" s="24">
        <v>16.5</v>
      </c>
      <c r="C77" s="24"/>
      <c r="D77" s="11">
        <v>45718.58874865741</v>
      </c>
    </row>
    <row r="78">
      <c r="A78" s="5" t="s">
        <v>56</v>
      </c>
      <c r="B78" s="24">
        <v>500.0</v>
      </c>
      <c r="C78" s="24"/>
      <c r="D78" s="11"/>
    </row>
    <row r="79">
      <c r="A79" s="5" t="s">
        <v>41</v>
      </c>
      <c r="B79" s="24">
        <v>8.1</v>
      </c>
      <c r="C79" s="24"/>
      <c r="D79" s="11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13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24"/>
      <c r="D89" s="25"/>
    </row>
    <row r="90">
      <c r="A90" s="5"/>
      <c r="B90" s="24"/>
      <c r="C90" s="13"/>
      <c r="D90" s="11"/>
    </row>
    <row r="91">
      <c r="A91" s="5"/>
      <c r="B91" s="24"/>
      <c r="C91" s="24"/>
      <c r="D91" s="11"/>
    </row>
    <row r="92">
      <c r="A92" s="5"/>
      <c r="B92" s="24"/>
      <c r="C92" s="13"/>
      <c r="D92" s="11"/>
    </row>
    <row r="93">
      <c r="A93" s="5"/>
      <c r="B93" s="24"/>
      <c r="C93" s="13"/>
      <c r="D93" s="25"/>
    </row>
    <row r="94">
      <c r="A94" s="5"/>
      <c r="B94" s="24"/>
      <c r="C94" s="13"/>
      <c r="D94" s="25"/>
    </row>
    <row r="95">
      <c r="A95" s="5"/>
      <c r="B95" s="24"/>
      <c r="C95" s="13"/>
      <c r="D95" s="25"/>
    </row>
    <row r="96">
      <c r="A96" s="5"/>
      <c r="B96" s="24"/>
      <c r="C96" s="13"/>
      <c r="D96" s="25"/>
    </row>
    <row r="97">
      <c r="A97" s="5"/>
      <c r="B97" s="24"/>
      <c r="C97" s="13"/>
      <c r="D97" s="25"/>
    </row>
    <row r="98">
      <c r="A98" s="5"/>
      <c r="B98" s="24"/>
      <c r="C98" s="13"/>
      <c r="D98" s="25"/>
    </row>
    <row r="99">
      <c r="A99" s="5"/>
      <c r="B99" s="24"/>
      <c r="C99" s="13"/>
      <c r="D99" s="25"/>
    </row>
    <row r="100">
      <c r="A100" s="5"/>
      <c r="B100" s="24"/>
      <c r="C100" s="13"/>
      <c r="D100" s="25"/>
    </row>
    <row r="101">
      <c r="A101" s="12"/>
      <c r="B101" s="13"/>
      <c r="C101" s="13"/>
      <c r="D101" s="25"/>
    </row>
    <row r="102">
      <c r="A102" s="12"/>
      <c r="B102" s="13"/>
      <c r="C102" s="13"/>
      <c r="D102" s="25"/>
    </row>
    <row r="103">
      <c r="A103" s="12"/>
      <c r="B103" s="13"/>
      <c r="C103" s="13"/>
      <c r="D103" s="25"/>
    </row>
    <row r="104">
      <c r="A104" s="12"/>
      <c r="B104" s="13"/>
      <c r="C104" s="13"/>
      <c r="D104" s="25"/>
    </row>
    <row r="105">
      <c r="A105" s="12"/>
      <c r="B105" s="13"/>
      <c r="C105" s="13"/>
      <c r="D105" s="25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0">
        <sortState ref="A2:D100">
          <sortCondition ref="D2:D100"/>
          <sortCondition ref="B2:B100"/>
        </sortState>
      </autoFilter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105">
    <cfRule type="notContainsBlanks" dxfId="0" priority="2">
      <formula>LEN(TRIM(D3))&gt;0</formula>
    </cfRule>
  </conditionalFormatting>
  <dataValidations>
    <dataValidation type="list" allowBlank="1" sqref="A3:A105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SUM(J3:J995)</f>
        <v>13626.93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47</v>
      </c>
      <c r="B3" s="27">
        <v>4763.0</v>
      </c>
      <c r="C3" s="24" t="s">
        <v>778</v>
      </c>
      <c r="D3" s="11">
        <v>45626.554062083334</v>
      </c>
      <c r="E3" s="1" t="s">
        <v>34</v>
      </c>
      <c r="F3" s="8">
        <v>31517.0</v>
      </c>
      <c r="H3" s="2">
        <f>Zbiorczy!D54</f>
        <v>182516.7</v>
      </c>
      <c r="J3" s="3">
        <f t="shared" ref="J3:J7" si="1">SUMIF($A$3:A$94, K3, B$3:B$94)</f>
        <v>2913.03</v>
      </c>
      <c r="K3" s="1" t="s">
        <v>35</v>
      </c>
      <c r="M3" s="3">
        <f t="shared" ref="M3:M8" si="2">SUMIF($A$3:A$94, N3, B$3:B$94)</f>
        <v>430.24</v>
      </c>
      <c r="N3" s="1" t="s">
        <v>36</v>
      </c>
    </row>
    <row r="4">
      <c r="A4" s="5" t="s">
        <v>50</v>
      </c>
      <c r="B4" s="27">
        <v>1480.0</v>
      </c>
      <c r="C4" s="24"/>
      <c r="D4" s="11">
        <v>45626.55418417824</v>
      </c>
      <c r="E4" s="1" t="s">
        <v>39</v>
      </c>
      <c r="J4" s="3">
        <f t="shared" si="1"/>
        <v>3307</v>
      </c>
      <c r="K4" s="1" t="s">
        <v>40</v>
      </c>
      <c r="M4" s="3">
        <f t="shared" si="2"/>
        <v>52.05</v>
      </c>
      <c r="N4" s="1" t="s">
        <v>41</v>
      </c>
    </row>
    <row r="5">
      <c r="A5" s="5" t="s">
        <v>56</v>
      </c>
      <c r="B5" s="27">
        <v>177.0</v>
      </c>
      <c r="C5" s="24" t="s">
        <v>779</v>
      </c>
      <c r="D5" s="11">
        <v>45629.4888468287</v>
      </c>
      <c r="E5" s="1" t="s">
        <v>45</v>
      </c>
      <c r="J5" s="3">
        <f t="shared" si="1"/>
        <v>5477</v>
      </c>
      <c r="K5" s="1" t="s">
        <v>46</v>
      </c>
      <c r="M5" s="3">
        <f t="shared" si="2"/>
        <v>7120</v>
      </c>
      <c r="N5" s="1" t="s">
        <v>47</v>
      </c>
    </row>
    <row r="6">
      <c r="A6" s="5" t="s">
        <v>50</v>
      </c>
      <c r="B6" s="27">
        <v>350.0</v>
      </c>
      <c r="C6" s="24" t="s">
        <v>780</v>
      </c>
      <c r="D6" s="11">
        <v>45629.491667939816</v>
      </c>
      <c r="J6" s="3">
        <f t="shared" si="1"/>
        <v>1929.9</v>
      </c>
      <c r="K6" s="1" t="s">
        <v>50</v>
      </c>
      <c r="M6" s="3">
        <f t="shared" si="2"/>
        <v>533.27</v>
      </c>
      <c r="N6" s="1" t="s">
        <v>51</v>
      </c>
    </row>
    <row r="7">
      <c r="A7" s="5" t="s">
        <v>73</v>
      </c>
      <c r="B7" s="27">
        <v>200.0</v>
      </c>
      <c r="C7" s="28"/>
      <c r="D7" s="11">
        <v>45629.491739386576</v>
      </c>
      <c r="J7" s="3">
        <f t="shared" si="1"/>
        <v>0</v>
      </c>
      <c r="K7" s="1" t="s">
        <v>55</v>
      </c>
      <c r="M7" s="3">
        <f t="shared" si="2"/>
        <v>3753.85</v>
      </c>
      <c r="N7" s="1" t="s">
        <v>56</v>
      </c>
    </row>
    <row r="8">
      <c r="A8" s="5" t="s">
        <v>37</v>
      </c>
      <c r="B8" s="27">
        <v>105.0</v>
      </c>
      <c r="C8" s="5" t="s">
        <v>781</v>
      </c>
      <c r="D8" s="11">
        <v>45629.4995737037</v>
      </c>
      <c r="M8" s="3">
        <f t="shared" si="2"/>
        <v>7120</v>
      </c>
      <c r="N8" s="1" t="s">
        <v>47</v>
      </c>
    </row>
    <row r="9">
      <c r="A9" s="5" t="s">
        <v>58</v>
      </c>
      <c r="B9" s="27">
        <v>228.0</v>
      </c>
      <c r="C9" s="24" t="s">
        <v>782</v>
      </c>
      <c r="D9" s="11">
        <v>45631.44985740741</v>
      </c>
    </row>
    <row r="10">
      <c r="A10" s="5" t="s">
        <v>58</v>
      </c>
      <c r="B10" s="27">
        <v>83.0</v>
      </c>
      <c r="C10" s="24" t="s">
        <v>783</v>
      </c>
      <c r="D10" s="11">
        <v>45631.450576076386</v>
      </c>
    </row>
    <row r="11">
      <c r="A11" s="5" t="s">
        <v>47</v>
      </c>
      <c r="B11" s="27">
        <v>2328.0</v>
      </c>
      <c r="C11" s="24" t="s">
        <v>784</v>
      </c>
      <c r="D11" s="11">
        <v>45631.45151168981</v>
      </c>
    </row>
    <row r="12">
      <c r="A12" s="5" t="s">
        <v>56</v>
      </c>
      <c r="B12" s="27">
        <v>120.0</v>
      </c>
      <c r="C12" s="24" t="s">
        <v>785</v>
      </c>
      <c r="D12" s="11">
        <v>45638.35184461805</v>
      </c>
    </row>
    <row r="13">
      <c r="A13" s="5" t="s">
        <v>56</v>
      </c>
      <c r="B13" s="24">
        <v>154.9</v>
      </c>
      <c r="C13" s="24"/>
      <c r="D13" s="11"/>
    </row>
    <row r="14">
      <c r="A14" s="5" t="s">
        <v>56</v>
      </c>
      <c r="B14" s="27">
        <v>90.25</v>
      </c>
      <c r="C14" s="24"/>
      <c r="D14" s="11"/>
    </row>
    <row r="15">
      <c r="A15" s="5" t="s">
        <v>47</v>
      </c>
      <c r="B15" s="27">
        <v>4.0</v>
      </c>
      <c r="C15" s="24"/>
      <c r="D15" s="11"/>
    </row>
    <row r="16">
      <c r="A16" s="5" t="s">
        <v>47</v>
      </c>
      <c r="B16" s="27">
        <v>4.0</v>
      </c>
      <c r="C16" s="24"/>
      <c r="D16" s="11"/>
    </row>
    <row r="17">
      <c r="A17" s="5" t="s">
        <v>56</v>
      </c>
      <c r="B17" s="27">
        <v>19.5</v>
      </c>
      <c r="C17" s="24"/>
      <c r="D17" s="11"/>
    </row>
    <row r="18">
      <c r="A18" s="5" t="s">
        <v>47</v>
      </c>
      <c r="B18" s="27">
        <v>5.0</v>
      </c>
      <c r="C18" s="24"/>
      <c r="D18" s="11"/>
    </row>
    <row r="19">
      <c r="A19" s="5" t="s">
        <v>36</v>
      </c>
      <c r="B19" s="27">
        <v>6.99</v>
      </c>
      <c r="C19" s="24"/>
      <c r="D19" s="11"/>
    </row>
    <row r="20">
      <c r="A20" s="5" t="s">
        <v>56</v>
      </c>
      <c r="B20" s="29">
        <v>28.0</v>
      </c>
      <c r="C20" s="24"/>
      <c r="D20" s="11"/>
    </row>
    <row r="21">
      <c r="A21" s="5" t="s">
        <v>36</v>
      </c>
      <c r="B21" s="27">
        <v>19.99</v>
      </c>
      <c r="C21" s="24"/>
      <c r="D21" s="11"/>
      <c r="E21" s="11"/>
      <c r="F21" s="11"/>
      <c r="G21" s="11"/>
    </row>
    <row r="22">
      <c r="A22" s="5" t="s">
        <v>56</v>
      </c>
      <c r="B22" s="27">
        <v>2.0</v>
      </c>
      <c r="C22" s="24"/>
      <c r="D22" s="11"/>
    </row>
    <row r="23">
      <c r="A23" s="5" t="s">
        <v>56</v>
      </c>
      <c r="B23" s="27">
        <v>85.0</v>
      </c>
      <c r="C23" s="24"/>
      <c r="D23" s="11"/>
    </row>
    <row r="24">
      <c r="A24" s="5" t="s">
        <v>36</v>
      </c>
      <c r="B24" s="27">
        <v>10.98</v>
      </c>
      <c r="C24" s="24"/>
      <c r="D24" s="11"/>
    </row>
    <row r="25">
      <c r="A25" s="5" t="s">
        <v>36</v>
      </c>
      <c r="B25" s="27">
        <v>35.97</v>
      </c>
      <c r="C25" s="24"/>
      <c r="D25" s="11"/>
    </row>
    <row r="26">
      <c r="A26" s="5" t="s">
        <v>36</v>
      </c>
      <c r="B26" s="30">
        <v>94.81</v>
      </c>
      <c r="C26" s="24"/>
      <c r="D26" s="11"/>
    </row>
    <row r="27">
      <c r="A27" s="5" t="s">
        <v>36</v>
      </c>
      <c r="B27" s="30">
        <v>34.66</v>
      </c>
      <c r="C27" s="24"/>
      <c r="D27" s="11"/>
    </row>
    <row r="28">
      <c r="A28" s="5" t="s">
        <v>80</v>
      </c>
      <c r="B28" s="30">
        <v>18.08</v>
      </c>
      <c r="C28" s="24"/>
      <c r="D28" s="11"/>
    </row>
    <row r="29">
      <c r="A29" s="5" t="s">
        <v>56</v>
      </c>
      <c r="B29" s="30">
        <v>650.0</v>
      </c>
      <c r="C29" s="24"/>
      <c r="D29" s="11"/>
    </row>
    <row r="30">
      <c r="A30" s="5" t="s">
        <v>222</v>
      </c>
      <c r="B30" s="30">
        <v>3000.0</v>
      </c>
      <c r="C30" s="24"/>
      <c r="D30" s="11"/>
    </row>
    <row r="31">
      <c r="A31" s="5" t="s">
        <v>41</v>
      </c>
      <c r="B31" s="27">
        <v>9.99</v>
      </c>
      <c r="C31" s="24"/>
      <c r="D31" s="11"/>
    </row>
    <row r="32">
      <c r="A32" s="5" t="s">
        <v>36</v>
      </c>
      <c r="B32" s="27">
        <v>7.32</v>
      </c>
      <c r="C32" s="24"/>
      <c r="D32" s="11"/>
    </row>
    <row r="33">
      <c r="A33" s="5" t="s">
        <v>41</v>
      </c>
      <c r="B33" s="27">
        <v>7.0</v>
      </c>
      <c r="C33" s="24"/>
      <c r="D33" s="11"/>
    </row>
    <row r="34">
      <c r="A34" s="5" t="s">
        <v>37</v>
      </c>
      <c r="B34" s="31">
        <v>16.0</v>
      </c>
      <c r="C34" s="24"/>
      <c r="D34" s="11"/>
    </row>
    <row r="35">
      <c r="A35" s="5" t="s">
        <v>56</v>
      </c>
      <c r="B35" s="31">
        <v>173.0</v>
      </c>
      <c r="C35" s="24"/>
      <c r="D35" s="11"/>
    </row>
    <row r="36">
      <c r="A36" s="5" t="s">
        <v>58</v>
      </c>
      <c r="B36" s="27">
        <v>14.99</v>
      </c>
      <c r="C36" s="24"/>
      <c r="D36" s="11"/>
    </row>
    <row r="37">
      <c r="A37" s="5" t="s">
        <v>56</v>
      </c>
      <c r="B37" s="30">
        <v>44.0</v>
      </c>
      <c r="C37" s="24"/>
      <c r="D37" s="11"/>
    </row>
    <row r="38">
      <c r="A38" s="5" t="s">
        <v>534</v>
      </c>
      <c r="B38" s="27">
        <v>214.99</v>
      </c>
      <c r="C38" s="24"/>
      <c r="D38" s="11"/>
    </row>
    <row r="39">
      <c r="A39" s="5" t="s">
        <v>73</v>
      </c>
      <c r="B39" s="32">
        <v>200.0</v>
      </c>
      <c r="C39" s="24"/>
      <c r="D39" s="11"/>
    </row>
    <row r="40">
      <c r="A40" s="5" t="s">
        <v>80</v>
      </c>
      <c r="B40" s="27">
        <v>24.98</v>
      </c>
      <c r="C40" s="24"/>
      <c r="D40" s="11"/>
    </row>
    <row r="41">
      <c r="A41" s="5" t="s">
        <v>37</v>
      </c>
      <c r="B41" s="27">
        <v>4.0</v>
      </c>
      <c r="C41" s="24"/>
      <c r="D41" s="11"/>
    </row>
    <row r="42">
      <c r="A42" s="5" t="s">
        <v>37</v>
      </c>
      <c r="B42" s="27">
        <v>4.0</v>
      </c>
      <c r="C42" s="24"/>
      <c r="D42" s="11"/>
    </row>
    <row r="43">
      <c r="A43" s="5" t="s">
        <v>534</v>
      </c>
      <c r="B43" s="27">
        <v>599.0</v>
      </c>
      <c r="C43" s="24"/>
      <c r="D43" s="11"/>
    </row>
    <row r="44">
      <c r="A44" s="5" t="s">
        <v>56</v>
      </c>
      <c r="B44" s="27">
        <v>26.75</v>
      </c>
      <c r="C44" s="24"/>
      <c r="D44" s="11"/>
    </row>
    <row r="45">
      <c r="A45" s="5" t="s">
        <v>307</v>
      </c>
      <c r="B45" s="27">
        <v>179.9</v>
      </c>
      <c r="C45" s="24"/>
      <c r="D45" s="11"/>
    </row>
    <row r="46">
      <c r="A46" s="5" t="s">
        <v>56</v>
      </c>
      <c r="B46" s="27">
        <v>36.0</v>
      </c>
      <c r="C46" s="24"/>
      <c r="D46" s="11"/>
    </row>
    <row r="47">
      <c r="A47" s="5" t="s">
        <v>37</v>
      </c>
      <c r="B47" s="27">
        <v>44.7</v>
      </c>
      <c r="C47" s="24"/>
      <c r="D47" s="11"/>
    </row>
    <row r="48">
      <c r="A48" s="5" t="s">
        <v>41</v>
      </c>
      <c r="B48" s="27">
        <v>10.59</v>
      </c>
      <c r="C48" s="24"/>
      <c r="D48" s="11"/>
    </row>
    <row r="49">
      <c r="A49" s="5" t="s">
        <v>56</v>
      </c>
      <c r="B49" s="27">
        <v>34.0</v>
      </c>
      <c r="C49" s="24"/>
      <c r="D49" s="11"/>
    </row>
    <row r="50">
      <c r="A50" s="5" t="s">
        <v>37</v>
      </c>
      <c r="B50" s="27">
        <v>3.4</v>
      </c>
      <c r="C50" s="24"/>
      <c r="D50" s="11"/>
    </row>
    <row r="51">
      <c r="A51" s="5" t="s">
        <v>148</v>
      </c>
      <c r="B51" s="27">
        <v>206.97</v>
      </c>
      <c r="C51" s="24"/>
      <c r="D51" s="11"/>
    </row>
    <row r="52">
      <c r="A52" s="5" t="s">
        <v>36</v>
      </c>
      <c r="B52" s="27">
        <v>85.0</v>
      </c>
      <c r="C52" s="24"/>
      <c r="D52" s="11"/>
    </row>
    <row r="53">
      <c r="A53" s="5" t="s">
        <v>222</v>
      </c>
      <c r="B53" s="27">
        <v>4000.0</v>
      </c>
      <c r="C53" s="24"/>
      <c r="D53" s="11"/>
    </row>
    <row r="54">
      <c r="A54" s="5" t="s">
        <v>222</v>
      </c>
      <c r="B54" s="27">
        <v>4000.0</v>
      </c>
      <c r="C54" s="24"/>
      <c r="D54" s="11"/>
    </row>
    <row r="55">
      <c r="A55" s="5" t="s">
        <v>37</v>
      </c>
      <c r="B55" s="27">
        <v>4.0</v>
      </c>
      <c r="C55" s="24"/>
      <c r="D55" s="11"/>
    </row>
    <row r="56">
      <c r="A56" s="5" t="s">
        <v>56</v>
      </c>
      <c r="B56" s="27">
        <v>54.9</v>
      </c>
      <c r="C56" s="24"/>
      <c r="D56" s="11"/>
    </row>
    <row r="57">
      <c r="A57" s="5" t="s">
        <v>73</v>
      </c>
      <c r="B57" s="27">
        <v>200.0</v>
      </c>
      <c r="C57" s="24"/>
      <c r="D57" s="11"/>
    </row>
    <row r="58">
      <c r="A58" s="5" t="s">
        <v>50</v>
      </c>
      <c r="B58" s="27">
        <v>99.9</v>
      </c>
      <c r="C58" s="24"/>
      <c r="D58" s="11"/>
    </row>
    <row r="59">
      <c r="A59" s="5" t="s">
        <v>56</v>
      </c>
      <c r="B59" s="27">
        <v>122.0</v>
      </c>
      <c r="C59" s="24"/>
      <c r="D59" s="11"/>
    </row>
    <row r="60">
      <c r="A60" s="5" t="s">
        <v>56</v>
      </c>
      <c r="B60" s="27">
        <v>38.0</v>
      </c>
      <c r="C60" s="24"/>
      <c r="D60" s="11"/>
    </row>
    <row r="61">
      <c r="A61" s="5" t="s">
        <v>534</v>
      </c>
      <c r="B61" s="24">
        <v>597.08</v>
      </c>
      <c r="C61" s="24"/>
      <c r="D61" s="11"/>
    </row>
    <row r="62">
      <c r="A62" s="5" t="s">
        <v>37</v>
      </c>
      <c r="B62" s="24">
        <v>4.0</v>
      </c>
      <c r="C62" s="24"/>
      <c r="D62" s="11"/>
    </row>
    <row r="63">
      <c r="A63" s="5" t="s">
        <v>37</v>
      </c>
      <c r="B63" s="24">
        <v>4.0</v>
      </c>
      <c r="C63" s="24"/>
      <c r="D63" s="11"/>
    </row>
    <row r="64">
      <c r="A64" s="5" t="s">
        <v>80</v>
      </c>
      <c r="B64" s="24">
        <v>29.47</v>
      </c>
      <c r="C64" s="24"/>
      <c r="D64" s="11"/>
    </row>
    <row r="65">
      <c r="A65" s="5" t="s">
        <v>534</v>
      </c>
      <c r="B65" s="24">
        <v>114.0</v>
      </c>
      <c r="C65" s="24"/>
      <c r="D65" s="11"/>
    </row>
    <row r="66">
      <c r="A66" s="5" t="s">
        <v>56</v>
      </c>
      <c r="B66" s="24">
        <v>74.55</v>
      </c>
      <c r="C66" s="24"/>
      <c r="D66" s="11"/>
    </row>
    <row r="67">
      <c r="A67" s="5" t="s">
        <v>80</v>
      </c>
      <c r="B67" s="24">
        <v>47.99</v>
      </c>
      <c r="C67" s="24"/>
      <c r="D67" s="11"/>
    </row>
    <row r="68">
      <c r="A68" s="5" t="s">
        <v>534</v>
      </c>
      <c r="B68" s="24">
        <v>240.0</v>
      </c>
      <c r="C68" s="24"/>
      <c r="D68" s="11"/>
    </row>
    <row r="69">
      <c r="A69" s="5" t="s">
        <v>41</v>
      </c>
      <c r="B69" s="24">
        <v>9.98</v>
      </c>
      <c r="C69" s="24"/>
      <c r="D69" s="11"/>
    </row>
    <row r="70">
      <c r="A70" s="5" t="s">
        <v>36</v>
      </c>
      <c r="B70" s="24">
        <v>21.38</v>
      </c>
      <c r="C70" s="24"/>
      <c r="D70" s="11"/>
    </row>
    <row r="71">
      <c r="A71" s="5" t="s">
        <v>41</v>
      </c>
      <c r="B71" s="24">
        <v>14.49</v>
      </c>
      <c r="C71" s="24"/>
      <c r="D71" s="11"/>
    </row>
    <row r="72">
      <c r="A72" s="5" t="s">
        <v>148</v>
      </c>
      <c r="B72" s="24">
        <v>81.48</v>
      </c>
      <c r="C72" s="24"/>
      <c r="D72" s="11"/>
    </row>
    <row r="73">
      <c r="A73" s="5" t="s">
        <v>56</v>
      </c>
      <c r="B73" s="24">
        <v>525.0</v>
      </c>
      <c r="C73" s="24"/>
      <c r="D73" s="11"/>
    </row>
    <row r="74">
      <c r="A74" s="5" t="s">
        <v>37</v>
      </c>
      <c r="B74" s="24">
        <v>17.98</v>
      </c>
      <c r="C74" s="24"/>
      <c r="D74" s="11"/>
    </row>
    <row r="75">
      <c r="A75" s="5" t="s">
        <v>56</v>
      </c>
      <c r="B75" s="24">
        <v>200.0</v>
      </c>
      <c r="C75" s="24"/>
      <c r="D75" s="11"/>
    </row>
    <row r="76">
      <c r="A76" s="5" t="s">
        <v>56</v>
      </c>
      <c r="B76" s="24">
        <v>600.0</v>
      </c>
      <c r="C76" s="24"/>
      <c r="D76" s="11"/>
    </row>
    <row r="77">
      <c r="A77" s="5" t="s">
        <v>47</v>
      </c>
      <c r="B77" s="24">
        <v>4.0</v>
      </c>
      <c r="C77" s="24"/>
      <c r="D77" s="11"/>
    </row>
    <row r="78">
      <c r="A78" s="5" t="s">
        <v>47</v>
      </c>
      <c r="B78" s="24">
        <v>4.0</v>
      </c>
      <c r="C78" s="24"/>
      <c r="D78" s="11"/>
    </row>
    <row r="79">
      <c r="A79" s="5" t="s">
        <v>47</v>
      </c>
      <c r="B79" s="24">
        <v>4.0</v>
      </c>
      <c r="C79" s="24"/>
      <c r="D79" s="11"/>
    </row>
    <row r="80">
      <c r="A80" s="5" t="s">
        <v>36</v>
      </c>
      <c r="B80" s="24">
        <v>98.22</v>
      </c>
      <c r="C80" s="24"/>
      <c r="D80" s="25"/>
    </row>
    <row r="81">
      <c r="A81" s="5" t="s">
        <v>47</v>
      </c>
      <c r="B81" s="24">
        <v>4.0</v>
      </c>
      <c r="C81" s="24"/>
      <c r="D81" s="25"/>
    </row>
    <row r="82">
      <c r="A82" s="5" t="s">
        <v>36</v>
      </c>
      <c r="B82" s="24">
        <v>14.92</v>
      </c>
      <c r="C82" s="24"/>
      <c r="D82" s="25"/>
    </row>
    <row r="83">
      <c r="A83" s="5" t="s">
        <v>37</v>
      </c>
      <c r="B83" s="24">
        <v>4.0</v>
      </c>
      <c r="C83" s="24"/>
      <c r="D83" s="25"/>
    </row>
    <row r="84">
      <c r="A84" s="5" t="s">
        <v>37</v>
      </c>
      <c r="B84" s="24">
        <v>4.0</v>
      </c>
      <c r="C84" s="24"/>
      <c r="D84" s="25"/>
    </row>
    <row r="85">
      <c r="A85" s="5" t="s">
        <v>58</v>
      </c>
      <c r="B85" s="24">
        <v>347.16</v>
      </c>
      <c r="C85" s="24"/>
      <c r="D85" s="25"/>
    </row>
    <row r="86">
      <c r="A86" s="5" t="s">
        <v>51</v>
      </c>
      <c r="B86" s="24">
        <v>76.0</v>
      </c>
      <c r="C86" s="13"/>
      <c r="D86" s="25"/>
    </row>
    <row r="87">
      <c r="A87" s="5" t="s">
        <v>51</v>
      </c>
      <c r="B87" s="24">
        <v>218.89</v>
      </c>
      <c r="C87" s="24"/>
      <c r="D87" s="25"/>
    </row>
    <row r="88">
      <c r="A88" s="5" t="s">
        <v>51</v>
      </c>
      <c r="B88" s="24">
        <v>238.38</v>
      </c>
      <c r="C88" s="24"/>
      <c r="D88" s="25"/>
    </row>
    <row r="89">
      <c r="A89" s="5" t="s">
        <v>201</v>
      </c>
      <c r="B89" s="24">
        <v>2913.03</v>
      </c>
      <c r="C89" s="24"/>
      <c r="D89" s="25"/>
    </row>
    <row r="90">
      <c r="A90" s="5" t="s">
        <v>40</v>
      </c>
      <c r="B90" s="24">
        <v>12.0</v>
      </c>
      <c r="C90" s="13"/>
      <c r="D90" s="11">
        <v>45718.56939185185</v>
      </c>
    </row>
    <row r="91">
      <c r="A91" s="5" t="s">
        <v>46</v>
      </c>
      <c r="B91" s="24">
        <v>5477.0</v>
      </c>
      <c r="C91" s="24"/>
      <c r="D91" s="11">
        <v>45718.569433321754</v>
      </c>
    </row>
    <row r="92">
      <c r="A92" s="5" t="s">
        <v>40</v>
      </c>
      <c r="B92" s="24">
        <v>3295.0</v>
      </c>
      <c r="C92" s="13"/>
      <c r="D92" s="11">
        <v>45718.56946266204</v>
      </c>
    </row>
    <row r="93">
      <c r="A93" s="5" t="s">
        <v>56</v>
      </c>
      <c r="B93" s="24">
        <v>400.0</v>
      </c>
      <c r="C93" s="13"/>
      <c r="D93" s="25"/>
    </row>
    <row r="94">
      <c r="A94" s="5" t="s">
        <v>56</v>
      </c>
      <c r="B94" s="24">
        <v>99.0</v>
      </c>
      <c r="C94" s="13"/>
      <c r="D94" s="25"/>
    </row>
    <row r="95">
      <c r="A95" s="5" t="s">
        <v>58</v>
      </c>
      <c r="B95" s="24">
        <v>82.29</v>
      </c>
      <c r="C95" s="13"/>
      <c r="D95" s="25"/>
    </row>
    <row r="96">
      <c r="A96" s="5" t="s">
        <v>58</v>
      </c>
      <c r="B96" s="24">
        <v>227.55</v>
      </c>
      <c r="C96" s="13"/>
      <c r="D96" s="25"/>
    </row>
    <row r="97">
      <c r="A97" s="5" t="s">
        <v>37</v>
      </c>
      <c r="B97" s="24">
        <v>149.0</v>
      </c>
      <c r="C97" s="13"/>
      <c r="D97" s="25"/>
    </row>
    <row r="98">
      <c r="A98" s="5" t="s">
        <v>37</v>
      </c>
      <c r="B98" s="24">
        <v>104.3</v>
      </c>
      <c r="C98" s="13"/>
      <c r="D98" s="25"/>
    </row>
    <row r="99">
      <c r="A99" s="5" t="s">
        <v>51</v>
      </c>
      <c r="B99" s="24">
        <v>167.04</v>
      </c>
      <c r="C99" s="13"/>
      <c r="D99" s="25"/>
    </row>
    <row r="100">
      <c r="A100" s="5" t="s">
        <v>51</v>
      </c>
      <c r="B100" s="24">
        <v>140.65</v>
      </c>
      <c r="C100" s="13"/>
      <c r="D100" s="25"/>
    </row>
    <row r="101">
      <c r="A101" s="12"/>
      <c r="B101" s="13"/>
      <c r="C101" s="13"/>
      <c r="D101" s="25"/>
    </row>
    <row r="102">
      <c r="A102" s="12"/>
      <c r="B102" s="13"/>
      <c r="C102" s="13"/>
      <c r="D102" s="25"/>
    </row>
    <row r="103">
      <c r="A103" s="12"/>
      <c r="B103" s="13"/>
      <c r="C103" s="13"/>
      <c r="D103" s="25"/>
    </row>
    <row r="104">
      <c r="A104" s="12"/>
      <c r="B104" s="13"/>
      <c r="C104" s="13"/>
      <c r="D104" s="25"/>
    </row>
    <row r="105">
      <c r="A105" s="12"/>
      <c r="B105" s="13"/>
      <c r="C105" s="13"/>
      <c r="D105" s="25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0">
        <sortState ref="A2:D100">
          <sortCondition ref="D2:D100"/>
          <sortCondition ref="B2:B100"/>
        </sortState>
      </autoFilter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105">
    <cfRule type="notContainsBlanks" dxfId="0" priority="2">
      <formula>LEN(TRIM(D3))&gt;0</formula>
    </cfRule>
  </conditionalFormatting>
  <dataValidations>
    <dataValidation type="list" allowBlank="1" sqref="A3:A105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15039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56</v>
      </c>
      <c r="B3" s="27">
        <v>8200.0</v>
      </c>
      <c r="C3" s="24" t="s">
        <v>786</v>
      </c>
      <c r="D3" s="11">
        <v>45606.88928633102</v>
      </c>
      <c r="E3" s="1" t="s">
        <v>34</v>
      </c>
      <c r="F3" s="8">
        <v>36109.11</v>
      </c>
      <c r="H3" s="2">
        <f>Zbiorczy!D53</f>
        <v>184586.09</v>
      </c>
      <c r="J3" s="3">
        <f t="shared" ref="J3:J7" si="1">SUMIF($A$3:A$98, K3, B$3:B$98)</f>
        <v>3000</v>
      </c>
      <c r="K3" s="1" t="s">
        <v>35</v>
      </c>
      <c r="M3" s="3">
        <f t="shared" ref="M3:M8" si="2">SUMIF($A$3:A$98, N3, B$3:B$98)</f>
        <v>771</v>
      </c>
      <c r="N3" s="1" t="s">
        <v>36</v>
      </c>
    </row>
    <row r="4">
      <c r="A4" s="5" t="s">
        <v>58</v>
      </c>
      <c r="B4" s="27">
        <v>2000.0</v>
      </c>
      <c r="C4" s="24" t="s">
        <v>787</v>
      </c>
      <c r="D4" s="11">
        <v>45606.890622719904</v>
      </c>
      <c r="E4" s="1" t="s">
        <v>39</v>
      </c>
      <c r="J4" s="3">
        <f t="shared" si="1"/>
        <v>4072</v>
      </c>
      <c r="K4" s="1" t="s">
        <v>40</v>
      </c>
      <c r="M4" s="3">
        <f t="shared" si="2"/>
        <v>79.5</v>
      </c>
      <c r="N4" s="1" t="s">
        <v>41</v>
      </c>
    </row>
    <row r="5">
      <c r="A5" s="5" t="s">
        <v>37</v>
      </c>
      <c r="B5" s="27">
        <v>300.0</v>
      </c>
      <c r="C5" s="24" t="s">
        <v>788</v>
      </c>
      <c r="D5" s="11">
        <v>45606.89463861111</v>
      </c>
      <c r="E5" s="1" t="s">
        <v>45</v>
      </c>
      <c r="J5" s="3">
        <f t="shared" si="1"/>
        <v>6117</v>
      </c>
      <c r="K5" s="1" t="s">
        <v>46</v>
      </c>
      <c r="M5" s="3">
        <f t="shared" si="2"/>
        <v>4325</v>
      </c>
      <c r="N5" s="1" t="s">
        <v>47</v>
      </c>
    </row>
    <row r="6">
      <c r="A6" s="5" t="s">
        <v>58</v>
      </c>
      <c r="B6" s="27">
        <v>83.0</v>
      </c>
      <c r="C6" s="24" t="s">
        <v>783</v>
      </c>
      <c r="D6" s="11">
        <v>45606.89508258102</v>
      </c>
      <c r="J6" s="3">
        <f t="shared" si="1"/>
        <v>1850</v>
      </c>
      <c r="K6" s="1" t="s">
        <v>50</v>
      </c>
      <c r="M6" s="3">
        <f t="shared" si="2"/>
        <v>563</v>
      </c>
      <c r="N6" s="1" t="s">
        <v>51</v>
      </c>
    </row>
    <row r="7">
      <c r="A7" s="5" t="s">
        <v>58</v>
      </c>
      <c r="B7" s="27">
        <v>230.0</v>
      </c>
      <c r="C7" s="28" t="s">
        <v>782</v>
      </c>
      <c r="D7" s="11">
        <v>45606.89517717593</v>
      </c>
      <c r="J7" s="3">
        <f t="shared" si="1"/>
        <v>0</v>
      </c>
      <c r="K7" s="1" t="s">
        <v>55</v>
      </c>
      <c r="M7" s="3">
        <f t="shared" si="2"/>
        <v>11825</v>
      </c>
      <c r="N7" s="1" t="s">
        <v>56</v>
      </c>
    </row>
    <row r="8">
      <c r="A8" s="5" t="s">
        <v>47</v>
      </c>
      <c r="B8" s="27">
        <v>2325.0</v>
      </c>
      <c r="C8" s="5"/>
      <c r="D8" s="11">
        <v>45606.89530898148</v>
      </c>
      <c r="M8" s="3">
        <f t="shared" si="2"/>
        <v>4325</v>
      </c>
      <c r="N8" s="1" t="s">
        <v>47</v>
      </c>
    </row>
    <row r="9">
      <c r="A9" s="5" t="s">
        <v>51</v>
      </c>
      <c r="B9" s="27">
        <v>76.0</v>
      </c>
      <c r="C9" s="24"/>
      <c r="D9" s="11">
        <v>45606.895433287034</v>
      </c>
    </row>
    <row r="10">
      <c r="A10" s="5" t="s">
        <v>56</v>
      </c>
      <c r="B10" s="27">
        <v>100.0</v>
      </c>
      <c r="C10" s="24" t="s">
        <v>789</v>
      </c>
      <c r="D10" s="11">
        <v>45606.89566556713</v>
      </c>
    </row>
    <row r="11">
      <c r="A11" s="5" t="s">
        <v>56</v>
      </c>
      <c r="B11" s="27">
        <v>113.0</v>
      </c>
      <c r="C11" s="24" t="s">
        <v>790</v>
      </c>
      <c r="D11" s="11">
        <v>45606.895899641204</v>
      </c>
    </row>
    <row r="12">
      <c r="A12" s="5" t="s">
        <v>36</v>
      </c>
      <c r="B12" s="27">
        <v>20.0</v>
      </c>
      <c r="C12" s="24"/>
      <c r="D12" s="11">
        <v>45606.89600101852</v>
      </c>
    </row>
    <row r="13">
      <c r="A13" s="5" t="s">
        <v>37</v>
      </c>
      <c r="B13" s="24">
        <v>8.0</v>
      </c>
      <c r="C13" s="24"/>
      <c r="D13" s="11">
        <v>45606.89618592593</v>
      </c>
    </row>
    <row r="14">
      <c r="A14" s="5" t="s">
        <v>36</v>
      </c>
      <c r="B14" s="27">
        <v>16.0</v>
      </c>
      <c r="C14" s="24"/>
      <c r="D14" s="11">
        <v>45606.89622780093</v>
      </c>
    </row>
    <row r="15">
      <c r="A15" s="5" t="s">
        <v>41</v>
      </c>
      <c r="B15" s="27">
        <v>10.0</v>
      </c>
      <c r="C15" s="24"/>
      <c r="D15" s="11">
        <v>45606.89626577546</v>
      </c>
    </row>
    <row r="16">
      <c r="A16" s="5" t="s">
        <v>56</v>
      </c>
      <c r="B16" s="27">
        <v>258.0</v>
      </c>
      <c r="C16" s="24" t="s">
        <v>774</v>
      </c>
      <c r="D16" s="11">
        <v>45606.8963833912</v>
      </c>
    </row>
    <row r="17">
      <c r="A17" s="5" t="s">
        <v>56</v>
      </c>
      <c r="B17" s="27">
        <v>600.0</v>
      </c>
      <c r="C17" s="24" t="s">
        <v>791</v>
      </c>
      <c r="D17" s="11">
        <v>45606.89650697917</v>
      </c>
    </row>
    <row r="18">
      <c r="A18" s="5" t="s">
        <v>56</v>
      </c>
      <c r="B18" s="27">
        <v>200.0</v>
      </c>
      <c r="C18" s="24" t="s">
        <v>792</v>
      </c>
      <c r="D18" s="11">
        <v>45606.896639467595</v>
      </c>
    </row>
    <row r="19">
      <c r="A19" s="5" t="s">
        <v>56</v>
      </c>
      <c r="B19" s="27">
        <v>100.0</v>
      </c>
      <c r="C19" s="24" t="s">
        <v>793</v>
      </c>
      <c r="D19" s="11">
        <v>45606.896708113425</v>
      </c>
    </row>
    <row r="20">
      <c r="A20" s="5" t="s">
        <v>36</v>
      </c>
      <c r="B20" s="29">
        <v>9.0</v>
      </c>
      <c r="C20" s="24"/>
      <c r="D20" s="11">
        <v>45606.89682872685</v>
      </c>
    </row>
    <row r="21">
      <c r="A21" s="5" t="s">
        <v>37</v>
      </c>
      <c r="B21" s="27">
        <v>8.0</v>
      </c>
      <c r="C21" s="24"/>
      <c r="D21" s="11">
        <v>45606.89693640046</v>
      </c>
      <c r="E21" s="11"/>
      <c r="F21" s="11"/>
      <c r="G21" s="11"/>
    </row>
    <row r="22">
      <c r="A22" s="5" t="s">
        <v>50</v>
      </c>
      <c r="B22" s="27">
        <v>350.0</v>
      </c>
      <c r="C22" s="24"/>
      <c r="D22" s="11">
        <v>45606.89779924769</v>
      </c>
    </row>
    <row r="23">
      <c r="A23" s="5" t="s">
        <v>36</v>
      </c>
      <c r="B23" s="27">
        <v>40.0</v>
      </c>
      <c r="C23" s="24"/>
      <c r="D23" s="11">
        <v>45606.89783732639</v>
      </c>
    </row>
    <row r="24">
      <c r="A24" s="5" t="s">
        <v>56</v>
      </c>
      <c r="B24" s="27">
        <v>40.0</v>
      </c>
      <c r="C24" s="24" t="s">
        <v>45</v>
      </c>
      <c r="D24" s="11">
        <v>45606.89717758102</v>
      </c>
    </row>
    <row r="25">
      <c r="A25" s="5" t="s">
        <v>50</v>
      </c>
      <c r="B25" s="27">
        <v>1500.0</v>
      </c>
      <c r="C25" s="24"/>
      <c r="D25" s="11">
        <v>45606.89792369213</v>
      </c>
    </row>
    <row r="26">
      <c r="A26" s="5" t="s">
        <v>41</v>
      </c>
      <c r="B26" s="30">
        <v>5.0</v>
      </c>
      <c r="C26" s="24"/>
      <c r="D26" s="11">
        <v>45606.8980547338</v>
      </c>
    </row>
    <row r="27">
      <c r="A27" s="5" t="s">
        <v>36</v>
      </c>
      <c r="B27" s="30">
        <v>67.0</v>
      </c>
      <c r="C27" s="24"/>
      <c r="D27" s="11">
        <v>45606.898374537035</v>
      </c>
    </row>
    <row r="28">
      <c r="A28" s="5" t="s">
        <v>56</v>
      </c>
      <c r="B28" s="30">
        <v>136.0</v>
      </c>
      <c r="C28" s="24" t="s">
        <v>795</v>
      </c>
      <c r="D28" s="11">
        <v>45606.89842680555</v>
      </c>
    </row>
    <row r="29">
      <c r="A29" s="5" t="s">
        <v>307</v>
      </c>
      <c r="B29" s="30">
        <v>130.0</v>
      </c>
      <c r="C29" s="24"/>
      <c r="D29" s="11">
        <v>45606.89902300926</v>
      </c>
    </row>
    <row r="30">
      <c r="A30" s="5" t="s">
        <v>41</v>
      </c>
      <c r="B30" s="30">
        <v>10.0</v>
      </c>
      <c r="C30" s="24"/>
      <c r="D30" s="11">
        <v>45606.89905600694</v>
      </c>
    </row>
    <row r="31">
      <c r="A31" s="5" t="s">
        <v>47</v>
      </c>
      <c r="B31" s="27">
        <v>2000.0</v>
      </c>
      <c r="C31" s="24" t="s">
        <v>796</v>
      </c>
      <c r="D31" s="11">
        <v>45606.899392974534</v>
      </c>
    </row>
    <row r="32">
      <c r="A32" s="5" t="s">
        <v>73</v>
      </c>
      <c r="B32" s="27">
        <v>250.0</v>
      </c>
      <c r="C32" s="24" t="s">
        <v>797</v>
      </c>
      <c r="D32" s="11">
        <v>45608.31402748842</v>
      </c>
    </row>
    <row r="33">
      <c r="A33" s="5" t="s">
        <v>36</v>
      </c>
      <c r="B33" s="27">
        <v>20.0</v>
      </c>
      <c r="C33" s="24"/>
      <c r="D33" s="11">
        <v>45608.40627253472</v>
      </c>
    </row>
    <row r="34">
      <c r="A34" s="5" t="s">
        <v>35</v>
      </c>
      <c r="B34" s="31">
        <v>3000.0</v>
      </c>
      <c r="C34" s="24"/>
      <c r="D34" s="11">
        <v>45610.906802893514</v>
      </c>
    </row>
    <row r="35">
      <c r="A35" s="5" t="s">
        <v>73</v>
      </c>
      <c r="B35" s="31">
        <v>250.0</v>
      </c>
      <c r="C35" s="24"/>
      <c r="D35" s="11">
        <v>45610.90684577546</v>
      </c>
    </row>
    <row r="36">
      <c r="A36" s="5" t="s">
        <v>148</v>
      </c>
      <c r="B36" s="27">
        <v>200.0</v>
      </c>
      <c r="C36" s="24"/>
      <c r="D36" s="11">
        <v>45610.90689351852</v>
      </c>
    </row>
    <row r="37">
      <c r="A37" s="5" t="s">
        <v>794</v>
      </c>
      <c r="B37" s="30">
        <v>6117.0</v>
      </c>
      <c r="C37" s="24"/>
      <c r="D37" s="11">
        <v>45610.90761783565</v>
      </c>
    </row>
    <row r="38">
      <c r="A38" s="5" t="s">
        <v>40</v>
      </c>
      <c r="B38" s="27">
        <v>4072.0</v>
      </c>
      <c r="C38" s="24"/>
      <c r="D38" s="11">
        <v>45610.90768965278</v>
      </c>
    </row>
    <row r="39">
      <c r="A39" s="5" t="s">
        <v>58</v>
      </c>
      <c r="B39" s="32">
        <v>350.0</v>
      </c>
      <c r="C39" s="24" t="s">
        <v>798</v>
      </c>
      <c r="D39" s="11">
        <v>45620.544208113424</v>
      </c>
    </row>
    <row r="40">
      <c r="A40" s="5" t="s">
        <v>51</v>
      </c>
      <c r="B40" s="27">
        <v>227.0</v>
      </c>
      <c r="C40" s="24"/>
      <c r="D40" s="11">
        <v>45620.54437251158</v>
      </c>
    </row>
    <row r="41">
      <c r="A41" s="5" t="s">
        <v>51</v>
      </c>
      <c r="B41" s="27">
        <v>120.0</v>
      </c>
      <c r="C41" s="24"/>
      <c r="D41" s="11">
        <v>45620.544484212965</v>
      </c>
    </row>
    <row r="42">
      <c r="A42" s="5" t="s">
        <v>41</v>
      </c>
      <c r="B42" s="27">
        <v>11.5</v>
      </c>
      <c r="C42" s="24"/>
      <c r="D42" s="11">
        <v>45620.587930775466</v>
      </c>
    </row>
    <row r="43">
      <c r="A43" s="5" t="s">
        <v>36</v>
      </c>
      <c r="B43" s="27">
        <v>185.0</v>
      </c>
      <c r="C43" s="24"/>
      <c r="D43" s="11">
        <v>45620.588146504626</v>
      </c>
    </row>
    <row r="44">
      <c r="A44" s="5" t="s">
        <v>307</v>
      </c>
      <c r="B44" s="27">
        <v>20.0</v>
      </c>
      <c r="C44" s="24"/>
      <c r="D44" s="11">
        <v>45620.58829494213</v>
      </c>
    </row>
    <row r="45">
      <c r="A45" s="5" t="s">
        <v>36</v>
      </c>
      <c r="B45" s="27">
        <v>63.0</v>
      </c>
      <c r="C45" s="24"/>
      <c r="D45" s="11">
        <v>45620.588363483796</v>
      </c>
    </row>
    <row r="46">
      <c r="A46" s="5" t="s">
        <v>56</v>
      </c>
      <c r="B46" s="27">
        <v>69.0</v>
      </c>
      <c r="C46" s="24" t="s">
        <v>795</v>
      </c>
      <c r="D46" s="11">
        <v>45620.58850864583</v>
      </c>
    </row>
    <row r="47">
      <c r="A47" s="5" t="s">
        <v>56</v>
      </c>
      <c r="B47" s="27">
        <v>40.0</v>
      </c>
      <c r="C47" s="24" t="s">
        <v>799</v>
      </c>
      <c r="D47" s="11">
        <v>45620.58863569444</v>
      </c>
    </row>
    <row r="48">
      <c r="A48" s="5" t="s">
        <v>56</v>
      </c>
      <c r="B48" s="27">
        <v>257.0</v>
      </c>
      <c r="C48" s="24" t="s">
        <v>800</v>
      </c>
      <c r="D48" s="11">
        <v>45620.58882844908</v>
      </c>
    </row>
    <row r="49">
      <c r="A49" s="5" t="s">
        <v>36</v>
      </c>
      <c r="B49" s="27">
        <v>53.0</v>
      </c>
      <c r="C49" s="24"/>
      <c r="D49" s="11">
        <v>45620.58895666667</v>
      </c>
    </row>
    <row r="50">
      <c r="A50" s="5" t="s">
        <v>307</v>
      </c>
      <c r="B50" s="27">
        <v>50.0</v>
      </c>
      <c r="C50" s="24"/>
      <c r="D50" s="11">
        <v>45620.5890487963</v>
      </c>
    </row>
    <row r="51">
      <c r="A51" s="5" t="s">
        <v>41</v>
      </c>
      <c r="B51" s="27">
        <v>20.0</v>
      </c>
      <c r="C51" s="24"/>
      <c r="D51" s="11">
        <v>45620.589243738425</v>
      </c>
    </row>
    <row r="52">
      <c r="A52" s="5" t="s">
        <v>772</v>
      </c>
      <c r="B52" s="27">
        <v>7.0</v>
      </c>
      <c r="C52" s="24"/>
      <c r="D52" s="11">
        <v>45620.58933469908</v>
      </c>
    </row>
    <row r="53">
      <c r="A53" s="5" t="s">
        <v>56</v>
      </c>
      <c r="B53" s="27">
        <v>800.0</v>
      </c>
      <c r="C53" s="24" t="s">
        <v>801</v>
      </c>
      <c r="D53" s="11">
        <v>45620.58939474537</v>
      </c>
    </row>
    <row r="54">
      <c r="A54" s="5" t="s">
        <v>772</v>
      </c>
      <c r="B54" s="27">
        <v>9.0</v>
      </c>
      <c r="C54" s="24"/>
      <c r="D54" s="11">
        <v>45620.5898662963</v>
      </c>
    </row>
    <row r="55">
      <c r="A55" s="5" t="s">
        <v>73</v>
      </c>
      <c r="B55" s="27">
        <v>200.0</v>
      </c>
      <c r="C55" s="24"/>
      <c r="D55" s="11">
        <v>45620.59005388889</v>
      </c>
    </row>
    <row r="56">
      <c r="A56" s="5" t="s">
        <v>41</v>
      </c>
      <c r="B56" s="27">
        <v>23.0</v>
      </c>
      <c r="C56" s="24"/>
      <c r="D56" s="11">
        <v>45620.59019984954</v>
      </c>
    </row>
    <row r="57">
      <c r="A57" s="5" t="s">
        <v>56</v>
      </c>
      <c r="B57" s="27">
        <v>100.0</v>
      </c>
      <c r="C57" s="24" t="s">
        <v>802</v>
      </c>
      <c r="D57" s="11">
        <v>45620.59030261574</v>
      </c>
    </row>
    <row r="58">
      <c r="A58" s="5" t="s">
        <v>37</v>
      </c>
      <c r="B58" s="27">
        <v>4.0</v>
      </c>
      <c r="C58" s="24"/>
      <c r="D58" s="11">
        <v>45620.59047649306</v>
      </c>
    </row>
    <row r="59">
      <c r="A59" s="5" t="s">
        <v>58</v>
      </c>
      <c r="B59" s="27">
        <v>15.0</v>
      </c>
      <c r="C59" s="24" t="s">
        <v>803</v>
      </c>
      <c r="D59" s="11">
        <v>45620.5905728588</v>
      </c>
    </row>
    <row r="60">
      <c r="A60" s="5" t="s">
        <v>56</v>
      </c>
      <c r="B60" s="27">
        <v>71.0</v>
      </c>
      <c r="C60" s="24" t="s">
        <v>804</v>
      </c>
      <c r="D60" s="11">
        <v>45620.59066188657</v>
      </c>
    </row>
    <row r="61">
      <c r="A61" s="5" t="s">
        <v>307</v>
      </c>
      <c r="B61" s="27">
        <v>250.0</v>
      </c>
      <c r="C61" s="24" t="s">
        <v>805</v>
      </c>
      <c r="D61" s="11">
        <v>45620.59081262731</v>
      </c>
    </row>
    <row r="62">
      <c r="A62" s="5" t="s">
        <v>56</v>
      </c>
      <c r="B62" s="24">
        <v>26.0</v>
      </c>
      <c r="C62" s="24" t="s">
        <v>806</v>
      </c>
      <c r="D62" s="11">
        <v>45620.59103539352</v>
      </c>
    </row>
    <row r="63">
      <c r="A63" s="5" t="s">
        <v>42</v>
      </c>
      <c r="B63" s="24">
        <v>20.0</v>
      </c>
      <c r="C63" s="24"/>
      <c r="D63" s="11">
        <v>45620.59113340278</v>
      </c>
    </row>
    <row r="64">
      <c r="A64" s="5" t="s">
        <v>37</v>
      </c>
      <c r="B64" s="24">
        <v>4.0</v>
      </c>
      <c r="C64" s="24"/>
      <c r="D64" s="11">
        <v>45620.591212314815</v>
      </c>
    </row>
    <row r="65">
      <c r="A65" s="5" t="s">
        <v>42</v>
      </c>
      <c r="B65" s="24">
        <v>36.0</v>
      </c>
      <c r="C65" s="24"/>
      <c r="D65" s="11">
        <v>45620.59134770834</v>
      </c>
    </row>
    <row r="66">
      <c r="A66" s="5" t="s">
        <v>80</v>
      </c>
      <c r="B66" s="24">
        <v>10.0</v>
      </c>
      <c r="C66" s="24"/>
      <c r="D66" s="11">
        <v>45620.591719641205</v>
      </c>
    </row>
    <row r="67">
      <c r="A67" s="5" t="s">
        <v>56</v>
      </c>
      <c r="B67" s="24">
        <v>15.0</v>
      </c>
      <c r="C67" s="24" t="s">
        <v>807</v>
      </c>
      <c r="D67" s="11">
        <v>45620.591783055555</v>
      </c>
    </row>
    <row r="68">
      <c r="A68" s="5" t="s">
        <v>42</v>
      </c>
      <c r="B68" s="24">
        <v>25.0</v>
      </c>
      <c r="C68" s="24"/>
      <c r="D68" s="11">
        <v>45620.591869386575</v>
      </c>
    </row>
    <row r="69">
      <c r="A69" s="5" t="s">
        <v>37</v>
      </c>
      <c r="B69" s="24">
        <v>4.0</v>
      </c>
      <c r="C69" s="24"/>
      <c r="D69" s="11">
        <v>45620.59197978009</v>
      </c>
    </row>
    <row r="70">
      <c r="A70" s="5" t="s">
        <v>148</v>
      </c>
      <c r="B70" s="24">
        <v>200.0</v>
      </c>
      <c r="C70" s="24"/>
      <c r="D70" s="11">
        <v>45620.59203407407</v>
      </c>
    </row>
    <row r="71">
      <c r="A71" s="5" t="s">
        <v>80</v>
      </c>
      <c r="B71" s="24">
        <v>13.0</v>
      </c>
      <c r="C71" s="24"/>
      <c r="D71" s="11">
        <v>45620.592112280094</v>
      </c>
    </row>
    <row r="72">
      <c r="A72" s="5" t="s">
        <v>307</v>
      </c>
      <c r="B72" s="24">
        <v>10.0</v>
      </c>
      <c r="C72" s="24"/>
      <c r="D72" s="11">
        <v>45620.59223649306</v>
      </c>
    </row>
    <row r="73">
      <c r="A73" s="5" t="s">
        <v>42</v>
      </c>
      <c r="B73" s="24">
        <v>156.0</v>
      </c>
      <c r="C73" s="24"/>
      <c r="D73" s="11">
        <v>45620.59244128472</v>
      </c>
    </row>
    <row r="74">
      <c r="A74" s="5" t="s">
        <v>73</v>
      </c>
      <c r="B74" s="24">
        <v>249.0</v>
      </c>
      <c r="C74" s="24" t="s">
        <v>808</v>
      </c>
      <c r="D74" s="11">
        <v>45620.59269994213</v>
      </c>
    </row>
    <row r="75">
      <c r="A75" s="5" t="s">
        <v>36</v>
      </c>
      <c r="B75" s="24">
        <v>20.0</v>
      </c>
      <c r="C75" s="24"/>
      <c r="D75" s="11">
        <v>45620.59286379629</v>
      </c>
    </row>
    <row r="76">
      <c r="A76" s="5" t="s">
        <v>56</v>
      </c>
      <c r="B76" s="24">
        <v>100.0</v>
      </c>
      <c r="C76" s="24" t="s">
        <v>809</v>
      </c>
      <c r="D76" s="11">
        <v>45620.59292439815</v>
      </c>
    </row>
    <row r="77">
      <c r="A77" s="5" t="s">
        <v>36</v>
      </c>
      <c r="B77" s="24">
        <v>178.0</v>
      </c>
      <c r="C77" s="24"/>
      <c r="D77" s="11">
        <v>45620.6049900463</v>
      </c>
    </row>
    <row r="78">
      <c r="A78" s="5" t="s">
        <v>42</v>
      </c>
      <c r="B78" s="24">
        <v>135.0</v>
      </c>
      <c r="C78" s="24"/>
      <c r="D78" s="11">
        <v>45622.372471400464</v>
      </c>
    </row>
    <row r="79">
      <c r="A79" s="5" t="s">
        <v>56</v>
      </c>
      <c r="B79" s="24">
        <v>200.0</v>
      </c>
      <c r="C79" s="24" t="s">
        <v>810</v>
      </c>
      <c r="D79" s="11">
        <v>45622.37251741898</v>
      </c>
    </row>
    <row r="80">
      <c r="A80" s="5" t="s">
        <v>56</v>
      </c>
      <c r="B80" s="24">
        <v>400.0</v>
      </c>
      <c r="C80" s="24" t="s">
        <v>811</v>
      </c>
      <c r="D80" s="11">
        <v>45626.54756733796</v>
      </c>
    </row>
    <row r="81">
      <c r="A81" s="5" t="s">
        <v>58</v>
      </c>
      <c r="B81" s="24">
        <v>350.0</v>
      </c>
      <c r="C81" s="24" t="s">
        <v>812</v>
      </c>
      <c r="D81" s="11">
        <v>45626.548216041665</v>
      </c>
    </row>
    <row r="82">
      <c r="A82" s="5" t="s">
        <v>51</v>
      </c>
      <c r="B82" s="24">
        <v>140.0</v>
      </c>
      <c r="C82" s="24"/>
      <c r="D82" s="11">
        <v>45626.54841516203</v>
      </c>
    </row>
    <row r="83">
      <c r="A83" s="5" t="s">
        <v>36</v>
      </c>
      <c r="B83" s="24">
        <v>100.0</v>
      </c>
      <c r="C83" s="24"/>
      <c r="D83" s="11">
        <v>45626.54961295139</v>
      </c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14113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73</v>
      </c>
      <c r="B3" s="27">
        <v>860.0</v>
      </c>
      <c r="C3" s="24"/>
      <c r="D3" s="11">
        <v>45567.333983136574</v>
      </c>
      <c r="E3" s="1" t="s">
        <v>34</v>
      </c>
      <c r="F3" s="8">
        <v>32269.0</v>
      </c>
      <c r="H3" s="2">
        <f>Zbiorczy!D52</f>
        <v>176449.09</v>
      </c>
      <c r="J3" s="3">
        <f t="shared" ref="J3:J7" si="1">SUMIF($A$3:A$98, K3, B$3:B$98)</f>
        <v>3000</v>
      </c>
      <c r="K3" s="1" t="s">
        <v>35</v>
      </c>
      <c r="M3" s="3">
        <f t="shared" ref="M3:M8" si="2">SUMIF($A$3:A$98, N3, B$3:B$98)</f>
        <v>1570</v>
      </c>
      <c r="N3" s="1" t="s">
        <v>36</v>
      </c>
    </row>
    <row r="4">
      <c r="A4" s="5" t="s">
        <v>56</v>
      </c>
      <c r="B4" s="27">
        <v>600.0</v>
      </c>
      <c r="C4" s="24" t="s">
        <v>791</v>
      </c>
      <c r="D4" s="11">
        <v>45567.33458681713</v>
      </c>
      <c r="E4" s="1" t="s">
        <v>39</v>
      </c>
      <c r="J4" s="3">
        <f t="shared" si="1"/>
        <v>3679</v>
      </c>
      <c r="K4" s="1" t="s">
        <v>40</v>
      </c>
      <c r="M4" s="3">
        <f t="shared" si="2"/>
        <v>6</v>
      </c>
      <c r="N4" s="1" t="s">
        <v>41</v>
      </c>
    </row>
    <row r="5">
      <c r="A5" s="5" t="s">
        <v>148</v>
      </c>
      <c r="B5" s="27">
        <v>67.0</v>
      </c>
      <c r="C5" s="24"/>
      <c r="D5" s="11">
        <v>45567.33479627315</v>
      </c>
      <c r="E5" s="1" t="s">
        <v>45</v>
      </c>
      <c r="J5" s="3">
        <f t="shared" si="1"/>
        <v>5602</v>
      </c>
      <c r="K5" s="1" t="s">
        <v>46</v>
      </c>
      <c r="M5" s="3">
        <f t="shared" si="2"/>
        <v>0</v>
      </c>
      <c r="N5" s="1" t="s">
        <v>47</v>
      </c>
    </row>
    <row r="6">
      <c r="A6" s="5" t="s">
        <v>50</v>
      </c>
      <c r="B6" s="27">
        <v>1382.0</v>
      </c>
      <c r="C6" s="24"/>
      <c r="D6" s="11">
        <v>45567.334946574076</v>
      </c>
      <c r="J6" s="3">
        <f t="shared" si="1"/>
        <v>1832</v>
      </c>
      <c r="K6" s="1" t="s">
        <v>50</v>
      </c>
      <c r="M6" s="3">
        <f t="shared" si="2"/>
        <v>815</v>
      </c>
      <c r="N6" s="1" t="s">
        <v>51</v>
      </c>
    </row>
    <row r="7">
      <c r="A7" s="5" t="s">
        <v>50</v>
      </c>
      <c r="B7" s="27">
        <v>350.0</v>
      </c>
      <c r="C7" s="28"/>
      <c r="D7" s="11">
        <v>45567.33503130787</v>
      </c>
      <c r="J7" s="3">
        <f t="shared" si="1"/>
        <v>0</v>
      </c>
      <c r="K7" s="1" t="s">
        <v>55</v>
      </c>
      <c r="M7" s="3">
        <f t="shared" si="2"/>
        <v>3763</v>
      </c>
      <c r="N7" s="1" t="s">
        <v>56</v>
      </c>
    </row>
    <row r="8">
      <c r="A8" s="5" t="s">
        <v>37</v>
      </c>
      <c r="B8" s="27">
        <v>8.0</v>
      </c>
      <c r="C8" s="5"/>
      <c r="D8" s="11">
        <v>45567.33518292824</v>
      </c>
      <c r="M8" s="3">
        <f t="shared" si="2"/>
        <v>0</v>
      </c>
      <c r="N8" s="1" t="s">
        <v>47</v>
      </c>
    </row>
    <row r="9">
      <c r="A9" s="5" t="s">
        <v>307</v>
      </c>
      <c r="B9" s="27">
        <v>170.0</v>
      </c>
      <c r="C9" s="24" t="s">
        <v>813</v>
      </c>
      <c r="D9" s="11">
        <v>45568.400381388885</v>
      </c>
    </row>
    <row r="10">
      <c r="A10" s="5" t="s">
        <v>56</v>
      </c>
      <c r="B10" s="27">
        <v>360.0</v>
      </c>
      <c r="C10" s="24" t="s">
        <v>814</v>
      </c>
      <c r="D10" s="11">
        <v>45570.50055370371</v>
      </c>
    </row>
    <row r="11">
      <c r="A11" s="5" t="s">
        <v>51</v>
      </c>
      <c r="B11" s="27">
        <v>155.0</v>
      </c>
      <c r="C11" s="24"/>
      <c r="D11" s="11">
        <v>45570.500826828706</v>
      </c>
    </row>
    <row r="12">
      <c r="A12" s="5" t="s">
        <v>58</v>
      </c>
      <c r="B12" s="27">
        <v>228.0</v>
      </c>
      <c r="C12" s="24" t="s">
        <v>815</v>
      </c>
      <c r="D12" s="11">
        <v>45570.50204421296</v>
      </c>
    </row>
    <row r="13">
      <c r="A13" s="5" t="s">
        <v>58</v>
      </c>
      <c r="B13" s="24">
        <v>83.0</v>
      </c>
      <c r="C13" s="24" t="s">
        <v>783</v>
      </c>
      <c r="D13" s="11">
        <v>45570.50212453704</v>
      </c>
    </row>
    <row r="14">
      <c r="A14" s="5" t="s">
        <v>47</v>
      </c>
      <c r="B14" s="27" t="s">
        <v>816</v>
      </c>
      <c r="C14" s="24"/>
      <c r="D14" s="11">
        <v>45570.502197071764</v>
      </c>
    </row>
    <row r="15">
      <c r="A15" s="5" t="s">
        <v>36</v>
      </c>
      <c r="B15" s="27">
        <v>3.0</v>
      </c>
      <c r="C15" s="24"/>
      <c r="D15" s="11">
        <v>45570.503457071754</v>
      </c>
    </row>
    <row r="16">
      <c r="A16" s="5" t="s">
        <v>73</v>
      </c>
      <c r="B16" s="27">
        <v>200.0</v>
      </c>
      <c r="C16" s="24"/>
      <c r="D16" s="11">
        <v>45570.503584861115</v>
      </c>
    </row>
    <row r="17">
      <c r="A17" s="5" t="s">
        <v>41</v>
      </c>
      <c r="B17" s="27">
        <v>6.0</v>
      </c>
      <c r="C17" s="24"/>
      <c r="D17" s="11">
        <v>45570.50368649306</v>
      </c>
    </row>
    <row r="18">
      <c r="A18" s="5" t="s">
        <v>37</v>
      </c>
      <c r="B18" s="27">
        <v>12.0</v>
      </c>
      <c r="C18" s="24"/>
      <c r="D18" s="11">
        <v>45570.50375998842</v>
      </c>
    </row>
    <row r="19">
      <c r="A19" s="5" t="s">
        <v>56</v>
      </c>
      <c r="B19" s="27">
        <v>625.0</v>
      </c>
      <c r="C19" s="24" t="s">
        <v>777</v>
      </c>
      <c r="D19" s="11">
        <v>45570.50390740741</v>
      </c>
    </row>
    <row r="20">
      <c r="A20" s="5" t="s">
        <v>80</v>
      </c>
      <c r="B20" s="29">
        <v>38.0</v>
      </c>
      <c r="C20" s="24"/>
      <c r="D20" s="11">
        <v>45570.5040662963</v>
      </c>
    </row>
    <row r="21">
      <c r="A21" s="5" t="s">
        <v>37</v>
      </c>
      <c r="B21" s="27">
        <v>8.0</v>
      </c>
      <c r="C21" s="24"/>
      <c r="D21" s="11">
        <v>45570.5041559838</v>
      </c>
      <c r="E21" s="11"/>
      <c r="F21" s="11"/>
      <c r="G21" s="11"/>
    </row>
    <row r="22">
      <c r="A22" s="5" t="s">
        <v>148</v>
      </c>
      <c r="B22" s="27">
        <v>67.0</v>
      </c>
      <c r="C22" s="24"/>
      <c r="D22" s="11">
        <v>45570.504321134256</v>
      </c>
    </row>
    <row r="23">
      <c r="A23" s="5" t="s">
        <v>56</v>
      </c>
      <c r="B23" s="27">
        <v>30.0</v>
      </c>
      <c r="C23" s="24" t="s">
        <v>817</v>
      </c>
      <c r="D23" s="11">
        <v>45570.50473991898</v>
      </c>
    </row>
    <row r="24">
      <c r="A24" s="5" t="s">
        <v>36</v>
      </c>
      <c r="B24" s="27">
        <v>17.0</v>
      </c>
      <c r="C24" s="24"/>
      <c r="D24" s="11">
        <v>45570.5048209375</v>
      </c>
    </row>
    <row r="25">
      <c r="A25" s="5" t="s">
        <v>37</v>
      </c>
      <c r="B25" s="27">
        <v>8.0</v>
      </c>
      <c r="C25" s="24"/>
      <c r="D25" s="11">
        <v>45570.50496268518</v>
      </c>
    </row>
    <row r="26">
      <c r="A26" s="5" t="s">
        <v>56</v>
      </c>
      <c r="B26" s="30">
        <v>78.0</v>
      </c>
      <c r="C26" s="24" t="s">
        <v>818</v>
      </c>
      <c r="D26" s="11">
        <v>45570.505084652774</v>
      </c>
    </row>
    <row r="27">
      <c r="A27" s="5" t="s">
        <v>56</v>
      </c>
      <c r="B27" s="30">
        <v>44.0</v>
      </c>
      <c r="C27" s="24"/>
      <c r="D27" s="11">
        <v>45570.50519228009</v>
      </c>
    </row>
    <row r="28">
      <c r="A28" s="5" t="s">
        <v>56</v>
      </c>
      <c r="B28" s="30">
        <v>140.0</v>
      </c>
      <c r="C28" s="24" t="s">
        <v>819</v>
      </c>
      <c r="D28" s="11">
        <v>45570.50732269676</v>
      </c>
    </row>
    <row r="29">
      <c r="A29" s="5" t="s">
        <v>56</v>
      </c>
      <c r="B29" s="30">
        <v>110.0</v>
      </c>
      <c r="C29" s="24" t="s">
        <v>820</v>
      </c>
      <c r="D29" s="11">
        <v>45571.352867685186</v>
      </c>
    </row>
    <row r="30">
      <c r="A30" s="5" t="s">
        <v>42</v>
      </c>
      <c r="B30" s="30">
        <v>208.0</v>
      </c>
      <c r="C30" s="24"/>
      <c r="D30" s="11">
        <v>45572.35357048611</v>
      </c>
    </row>
    <row r="31">
      <c r="A31" s="5" t="s">
        <v>201</v>
      </c>
      <c r="B31" s="27">
        <v>3000.0</v>
      </c>
      <c r="C31" s="24"/>
      <c r="D31" s="11">
        <v>45578.75299707176</v>
      </c>
    </row>
    <row r="32">
      <c r="A32" s="5" t="s">
        <v>56</v>
      </c>
      <c r="B32" s="27">
        <v>126.0</v>
      </c>
      <c r="C32" s="24"/>
      <c r="D32" s="11">
        <v>45578.75399506945</v>
      </c>
    </row>
    <row r="33">
      <c r="A33" s="5" t="s">
        <v>73</v>
      </c>
      <c r="B33" s="27">
        <v>200.0</v>
      </c>
      <c r="C33" s="24" t="s">
        <v>821</v>
      </c>
      <c r="D33" s="11">
        <v>45578.754092233794</v>
      </c>
    </row>
    <row r="34">
      <c r="A34" s="5" t="s">
        <v>50</v>
      </c>
      <c r="B34" s="31">
        <v>100.0</v>
      </c>
      <c r="C34" s="24" t="s">
        <v>822</v>
      </c>
      <c r="D34" s="11">
        <v>45578.7547965625</v>
      </c>
    </row>
    <row r="35">
      <c r="A35" s="5" t="s">
        <v>56</v>
      </c>
      <c r="B35" s="31">
        <v>650.0</v>
      </c>
      <c r="C35" s="24" t="s">
        <v>823</v>
      </c>
      <c r="D35" s="11">
        <v>45579.37654629629</v>
      </c>
    </row>
    <row r="36">
      <c r="A36" s="5" t="s">
        <v>148</v>
      </c>
      <c r="B36" s="27">
        <v>65.0</v>
      </c>
      <c r="C36" s="24"/>
      <c r="D36" s="11">
        <v>45579.88104049768</v>
      </c>
    </row>
    <row r="37">
      <c r="A37" s="5" t="s">
        <v>73</v>
      </c>
      <c r="B37" s="30">
        <v>200.0</v>
      </c>
      <c r="C37" s="24"/>
      <c r="D37" s="11">
        <v>45582.92024980324</v>
      </c>
    </row>
    <row r="38">
      <c r="A38" s="5" t="s">
        <v>73</v>
      </c>
      <c r="B38" s="27">
        <v>350.0</v>
      </c>
      <c r="C38" s="24"/>
      <c r="D38" s="11">
        <v>45582.920282314815</v>
      </c>
    </row>
    <row r="39">
      <c r="A39" s="5" t="s">
        <v>148</v>
      </c>
      <c r="B39" s="32">
        <v>140.0</v>
      </c>
      <c r="C39" s="24"/>
      <c r="D39" s="11">
        <v>45582.92031634259</v>
      </c>
    </row>
    <row r="40">
      <c r="A40" s="5" t="s">
        <v>40</v>
      </c>
      <c r="B40" s="27">
        <v>3679.0</v>
      </c>
      <c r="C40" s="24"/>
      <c r="D40" s="11">
        <v>45582.921581284725</v>
      </c>
    </row>
    <row r="41">
      <c r="A41" s="5" t="s">
        <v>46</v>
      </c>
      <c r="B41" s="27">
        <v>5602.0</v>
      </c>
      <c r="C41" s="24"/>
      <c r="D41" s="11">
        <v>45582.92183450231</v>
      </c>
    </row>
    <row r="42">
      <c r="A42" s="5" t="s">
        <v>51</v>
      </c>
      <c r="B42" s="27">
        <v>250.0</v>
      </c>
      <c r="C42" s="24"/>
      <c r="D42" s="11">
        <v>45584.555291875</v>
      </c>
    </row>
    <row r="43">
      <c r="A43" s="5" t="s">
        <v>51</v>
      </c>
      <c r="B43" s="27">
        <v>180.0</v>
      </c>
      <c r="C43" s="24"/>
      <c r="D43" s="11">
        <v>45584.55540207176</v>
      </c>
    </row>
    <row r="44">
      <c r="A44" s="5" t="s">
        <v>148</v>
      </c>
      <c r="B44" s="27">
        <v>140.0</v>
      </c>
      <c r="C44" s="24"/>
      <c r="D44" s="11">
        <v>45584.556999837965</v>
      </c>
    </row>
    <row r="45">
      <c r="A45" s="5" t="s">
        <v>36</v>
      </c>
      <c r="B45" s="27">
        <v>250.0</v>
      </c>
      <c r="C45" s="24"/>
      <c r="D45" s="11">
        <v>45588.32865043981</v>
      </c>
    </row>
    <row r="46">
      <c r="A46" s="5" t="s">
        <v>36</v>
      </c>
      <c r="B46" s="27">
        <v>1300.0</v>
      </c>
      <c r="C46" s="24"/>
      <c r="D46" s="11">
        <v>45588.32873770833</v>
      </c>
    </row>
    <row r="47">
      <c r="A47" s="5" t="s">
        <v>42</v>
      </c>
      <c r="B47" s="27">
        <v>263.0</v>
      </c>
      <c r="C47" s="24"/>
      <c r="D47" s="11">
        <v>45589.853174131946</v>
      </c>
    </row>
    <row r="48">
      <c r="A48" s="5" t="s">
        <v>58</v>
      </c>
      <c r="B48" s="27">
        <v>350.0</v>
      </c>
      <c r="C48" s="24"/>
      <c r="D48" s="11">
        <v>45594.78656988426</v>
      </c>
    </row>
    <row r="49">
      <c r="A49" s="5" t="s">
        <v>56</v>
      </c>
      <c r="B49" s="27">
        <v>400.0</v>
      </c>
      <c r="C49" s="24" t="s">
        <v>811</v>
      </c>
      <c r="D49" s="11">
        <v>45594.788072083335</v>
      </c>
    </row>
    <row r="50">
      <c r="A50" s="5" t="s">
        <v>73</v>
      </c>
      <c r="B50" s="27">
        <v>200.0</v>
      </c>
      <c r="C50" s="24" t="s">
        <v>821</v>
      </c>
      <c r="D50" s="11">
        <v>45594.79226980324</v>
      </c>
    </row>
    <row r="51">
      <c r="A51" s="5" t="s">
        <v>56</v>
      </c>
      <c r="B51" s="27">
        <v>600.0</v>
      </c>
      <c r="C51" s="24" t="s">
        <v>824</v>
      </c>
      <c r="D51" s="11">
        <v>45596.570179664355</v>
      </c>
    </row>
    <row r="52">
      <c r="A52" s="5" t="s">
        <v>51</v>
      </c>
      <c r="B52" s="27">
        <v>230.0</v>
      </c>
      <c r="C52" s="24"/>
      <c r="D52" s="11">
        <v>45596.570691319444</v>
      </c>
    </row>
    <row r="53">
      <c r="A53" s="5"/>
      <c r="B53" s="27"/>
      <c r="C53" s="24"/>
      <c r="D53" s="11"/>
    </row>
    <row r="54">
      <c r="A54" s="5"/>
      <c r="B54" s="27"/>
      <c r="C54" s="24"/>
      <c r="D54" s="11"/>
    </row>
    <row r="55">
      <c r="A55" s="5"/>
      <c r="B55" s="27"/>
      <c r="C55" s="24"/>
      <c r="D55" s="11"/>
    </row>
    <row r="56">
      <c r="A56" s="5"/>
      <c r="B56" s="27"/>
      <c r="C56" s="24"/>
      <c r="D56" s="11"/>
    </row>
    <row r="57">
      <c r="A57" s="5"/>
      <c r="B57" s="27"/>
      <c r="C57" s="24"/>
      <c r="D57" s="11"/>
    </row>
    <row r="58">
      <c r="A58" s="5"/>
      <c r="B58" s="27"/>
      <c r="C58" s="24"/>
      <c r="D58" s="11"/>
    </row>
    <row r="59">
      <c r="A59" s="5"/>
      <c r="B59" s="27"/>
      <c r="C59" s="24"/>
      <c r="D59" s="11"/>
    </row>
    <row r="60">
      <c r="A60" s="5"/>
      <c r="B60" s="27"/>
      <c r="C60" s="24"/>
      <c r="D60" s="11"/>
    </row>
    <row r="61">
      <c r="A61" s="5"/>
      <c r="B61" s="27"/>
      <c r="C61" s="24"/>
      <c r="D61" s="11"/>
    </row>
    <row r="62">
      <c r="A62" s="5"/>
      <c r="B62" s="24"/>
      <c r="C62" s="24"/>
      <c r="D62" s="11"/>
    </row>
    <row r="63">
      <c r="A63" s="5"/>
      <c r="B63" s="24"/>
      <c r="C63" s="24"/>
      <c r="D63" s="11"/>
    </row>
    <row r="64">
      <c r="A64" s="5"/>
      <c r="B64" s="24"/>
      <c r="C64" s="24"/>
      <c r="D64" s="11"/>
    </row>
    <row r="65">
      <c r="A65" s="5"/>
      <c r="B65" s="24"/>
      <c r="C65" s="24"/>
      <c r="D65" s="11"/>
    </row>
    <row r="66">
      <c r="A66" s="5"/>
      <c r="B66" s="24"/>
      <c r="C66" s="24"/>
      <c r="D66" s="11"/>
    </row>
    <row r="67">
      <c r="A67" s="5"/>
      <c r="B67" s="24"/>
      <c r="C67" s="24"/>
      <c r="D67" s="11"/>
    </row>
    <row r="68">
      <c r="A68" s="5"/>
      <c r="B68" s="24"/>
      <c r="C68" s="24"/>
      <c r="D68" s="11"/>
    </row>
    <row r="69">
      <c r="A69" s="5"/>
      <c r="B69" s="24"/>
      <c r="C69" s="24"/>
      <c r="D69" s="11"/>
    </row>
    <row r="70">
      <c r="A70" s="5"/>
      <c r="B70" s="24"/>
      <c r="C70" s="24"/>
      <c r="D70" s="11"/>
    </row>
    <row r="71">
      <c r="A71" s="5"/>
      <c r="B71" s="24"/>
      <c r="C71" s="24"/>
      <c r="D71" s="11"/>
    </row>
    <row r="72">
      <c r="A72" s="5"/>
      <c r="B72" s="24"/>
      <c r="C72" s="24"/>
      <c r="D72" s="11"/>
    </row>
    <row r="73">
      <c r="A73" s="5"/>
      <c r="B73" s="24"/>
      <c r="C73" s="24"/>
      <c r="D73" s="11"/>
    </row>
    <row r="74">
      <c r="A74" s="5"/>
      <c r="B74" s="24"/>
      <c r="C74" s="24"/>
      <c r="D74" s="11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15750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50</v>
      </c>
      <c r="B3" s="27">
        <v>1382.0</v>
      </c>
      <c r="C3" s="24"/>
      <c r="D3" s="11">
        <v>45538.82642030093</v>
      </c>
      <c r="E3" s="1" t="s">
        <v>34</v>
      </c>
      <c r="F3" s="8">
        <v>36211.0</v>
      </c>
      <c r="H3" s="2">
        <f>Zbiorczy!D51</f>
        <v>167588.64</v>
      </c>
      <c r="J3" s="3">
        <f t="shared" ref="J3:J7" si="1">SUMIF($A$3:A$98, K3, B$3:B$98)</f>
        <v>3000</v>
      </c>
      <c r="K3" s="1" t="s">
        <v>35</v>
      </c>
      <c r="M3" s="3">
        <f t="shared" ref="M3:M8" si="2">SUMIF($A$3:A$98, N3, B$3:B$98)</f>
        <v>2819</v>
      </c>
      <c r="N3" s="1" t="s">
        <v>36</v>
      </c>
    </row>
    <row r="4">
      <c r="A4" s="5" t="s">
        <v>50</v>
      </c>
      <c r="B4" s="27">
        <v>350.0</v>
      </c>
      <c r="C4" s="24"/>
      <c r="D4" s="11">
        <v>45538.82648694444</v>
      </c>
      <c r="E4" s="1" t="s">
        <v>39</v>
      </c>
      <c r="J4" s="3">
        <f t="shared" si="1"/>
        <v>4131</v>
      </c>
      <c r="K4" s="1" t="s">
        <v>40</v>
      </c>
      <c r="M4" s="3">
        <f t="shared" si="2"/>
        <v>0</v>
      </c>
      <c r="N4" s="1" t="s">
        <v>41</v>
      </c>
    </row>
    <row r="5">
      <c r="A5" s="5" t="s">
        <v>36</v>
      </c>
      <c r="B5" s="27">
        <v>1200.0</v>
      </c>
      <c r="C5" s="24"/>
      <c r="D5" s="11">
        <v>45538.826643541666</v>
      </c>
      <c r="E5" s="1" t="s">
        <v>45</v>
      </c>
      <c r="J5" s="3">
        <f t="shared" si="1"/>
        <v>6227</v>
      </c>
      <c r="K5" s="1" t="s">
        <v>46</v>
      </c>
      <c r="M5" s="3">
        <f t="shared" si="2"/>
        <v>0</v>
      </c>
      <c r="N5" s="1" t="s">
        <v>47</v>
      </c>
    </row>
    <row r="6">
      <c r="A6" s="5" t="s">
        <v>36</v>
      </c>
      <c r="B6" s="27">
        <v>160.0</v>
      </c>
      <c r="C6" s="24"/>
      <c r="D6" s="11">
        <v>45538.8268955324</v>
      </c>
      <c r="J6" s="3">
        <f t="shared" si="1"/>
        <v>2392</v>
      </c>
      <c r="K6" s="1" t="s">
        <v>50</v>
      </c>
      <c r="M6" s="3">
        <f t="shared" si="2"/>
        <v>300</v>
      </c>
      <c r="N6" s="1" t="s">
        <v>51</v>
      </c>
    </row>
    <row r="7">
      <c r="A7" s="5" t="s">
        <v>56</v>
      </c>
      <c r="B7" s="27">
        <v>165.0</v>
      </c>
      <c r="C7" s="28" t="s">
        <v>825</v>
      </c>
      <c r="D7" s="11">
        <v>45538.82699351852</v>
      </c>
      <c r="J7" s="3">
        <f t="shared" si="1"/>
        <v>0</v>
      </c>
      <c r="K7" s="1" t="s">
        <v>55</v>
      </c>
      <c r="M7" s="3">
        <f t="shared" si="2"/>
        <v>5586</v>
      </c>
      <c r="N7" s="1" t="s">
        <v>56</v>
      </c>
    </row>
    <row r="8">
      <c r="A8" s="5" t="s">
        <v>80</v>
      </c>
      <c r="B8" s="27">
        <v>18.0</v>
      </c>
      <c r="C8" s="5"/>
      <c r="D8" s="11">
        <v>45538.8271205787</v>
      </c>
      <c r="M8" s="3">
        <f t="shared" si="2"/>
        <v>0</v>
      </c>
      <c r="N8" s="1" t="s">
        <v>47</v>
      </c>
    </row>
    <row r="9">
      <c r="A9" s="5" t="s">
        <v>36</v>
      </c>
      <c r="B9" s="27">
        <v>9.0</v>
      </c>
      <c r="C9" s="24"/>
      <c r="D9" s="11">
        <v>45538.827229953706</v>
      </c>
    </row>
    <row r="10">
      <c r="A10" s="5" t="s">
        <v>36</v>
      </c>
      <c r="B10" s="27">
        <v>60.0</v>
      </c>
      <c r="C10" s="24"/>
      <c r="D10" s="11">
        <v>45538.82731940973</v>
      </c>
    </row>
    <row r="11">
      <c r="A11" s="5" t="s">
        <v>56</v>
      </c>
      <c r="B11" s="27">
        <v>175.0</v>
      </c>
      <c r="C11" s="24" t="s">
        <v>811</v>
      </c>
      <c r="D11" s="11">
        <v>45538.83619994213</v>
      </c>
    </row>
    <row r="12">
      <c r="A12" s="5" t="s">
        <v>56</v>
      </c>
      <c r="B12" s="27">
        <v>600.0</v>
      </c>
      <c r="C12" s="24" t="s">
        <v>826</v>
      </c>
      <c r="D12" s="11">
        <v>45539.37110548611</v>
      </c>
    </row>
    <row r="13">
      <c r="A13" s="5" t="s">
        <v>307</v>
      </c>
      <c r="B13" s="24">
        <v>80.0</v>
      </c>
      <c r="C13" s="24" t="s">
        <v>813</v>
      </c>
      <c r="D13" s="11">
        <v>45539.91423414352</v>
      </c>
    </row>
    <row r="14">
      <c r="A14" s="5" t="s">
        <v>80</v>
      </c>
      <c r="B14" s="27">
        <v>9.0</v>
      </c>
      <c r="C14" s="24"/>
      <c r="D14" s="11">
        <v>45539.91444653935</v>
      </c>
    </row>
    <row r="15">
      <c r="A15" s="5" t="s">
        <v>56</v>
      </c>
      <c r="B15" s="27">
        <v>9.0</v>
      </c>
      <c r="C15" s="24" t="s">
        <v>827</v>
      </c>
      <c r="D15" s="11">
        <v>45539.91471532408</v>
      </c>
    </row>
    <row r="16">
      <c r="A16" s="5" t="s">
        <v>42</v>
      </c>
      <c r="B16" s="27">
        <v>187.0</v>
      </c>
      <c r="C16" s="24"/>
      <c r="D16" s="11">
        <v>45539.91696368056</v>
      </c>
    </row>
    <row r="17">
      <c r="A17" s="5" t="s">
        <v>56</v>
      </c>
      <c r="B17" s="27">
        <v>58.0</v>
      </c>
      <c r="C17" s="24" t="s">
        <v>828</v>
      </c>
      <c r="D17" s="11">
        <v>45542.55425417824</v>
      </c>
    </row>
    <row r="18">
      <c r="A18" s="5" t="s">
        <v>47</v>
      </c>
      <c r="B18" s="27" t="s">
        <v>829</v>
      </c>
      <c r="C18" s="24"/>
      <c r="D18" s="11">
        <v>45542.555362604166</v>
      </c>
    </row>
    <row r="19">
      <c r="A19" s="5" t="s">
        <v>58</v>
      </c>
      <c r="B19" s="27">
        <v>227.55</v>
      </c>
      <c r="C19" s="24" t="s">
        <v>815</v>
      </c>
      <c r="D19" s="11">
        <v>45542.55650210648</v>
      </c>
    </row>
    <row r="20">
      <c r="A20" s="5" t="s">
        <v>58</v>
      </c>
      <c r="B20" s="29">
        <v>82.0</v>
      </c>
      <c r="C20" s="24" t="s">
        <v>783</v>
      </c>
      <c r="D20" s="11">
        <v>45542.55812570602</v>
      </c>
    </row>
    <row r="21">
      <c r="A21" s="5" t="s">
        <v>80</v>
      </c>
      <c r="B21" s="27">
        <v>110.0</v>
      </c>
      <c r="C21" s="24"/>
      <c r="D21" s="11">
        <v>45546.56692798611</v>
      </c>
      <c r="E21" s="11"/>
      <c r="F21" s="11"/>
      <c r="G21" s="11"/>
    </row>
    <row r="22">
      <c r="A22" s="5" t="s">
        <v>56</v>
      </c>
      <c r="B22" s="27">
        <v>50.0</v>
      </c>
      <c r="C22" s="24"/>
      <c r="D22" s="11">
        <v>45547.61968310185</v>
      </c>
    </row>
    <row r="23">
      <c r="A23" s="5" t="s">
        <v>73</v>
      </c>
      <c r="B23" s="27">
        <v>200.0</v>
      </c>
      <c r="C23" s="24" t="s">
        <v>830</v>
      </c>
      <c r="D23" s="11">
        <v>45547.61974180555</v>
      </c>
    </row>
    <row r="24">
      <c r="A24" s="5" t="s">
        <v>80</v>
      </c>
      <c r="B24" s="27">
        <v>45.0</v>
      </c>
      <c r="C24" s="24"/>
      <c r="D24" s="11">
        <v>45549.63892769676</v>
      </c>
    </row>
    <row r="25">
      <c r="A25" s="5" t="s">
        <v>148</v>
      </c>
      <c r="B25" s="27">
        <v>60.0</v>
      </c>
      <c r="C25" s="24"/>
      <c r="D25" s="11">
        <v>45549.639136342594</v>
      </c>
    </row>
    <row r="26">
      <c r="A26" s="5" t="s">
        <v>46</v>
      </c>
      <c r="B26" s="27">
        <v>6227.0</v>
      </c>
      <c r="C26" s="24"/>
      <c r="D26" s="11">
        <v>45549.63939201389</v>
      </c>
    </row>
    <row r="27">
      <c r="A27" s="5" t="s">
        <v>40</v>
      </c>
      <c r="B27" s="27">
        <v>4131.0</v>
      </c>
      <c r="C27" s="24"/>
      <c r="D27" s="11">
        <v>45549.6395075926</v>
      </c>
    </row>
    <row r="28">
      <c r="A28" s="5" t="s">
        <v>201</v>
      </c>
      <c r="B28" s="30">
        <v>3000.0</v>
      </c>
      <c r="C28" s="24"/>
      <c r="D28" s="11">
        <v>45549.64053260417</v>
      </c>
    </row>
    <row r="29">
      <c r="A29" s="5" t="s">
        <v>50</v>
      </c>
      <c r="B29" s="30">
        <v>100.0</v>
      </c>
      <c r="C29" s="24"/>
      <c r="D29" s="11">
        <v>45554.626755439815</v>
      </c>
    </row>
    <row r="30">
      <c r="A30" s="5" t="s">
        <v>56</v>
      </c>
      <c r="B30" s="30">
        <v>100.0</v>
      </c>
      <c r="C30" s="24" t="s">
        <v>831</v>
      </c>
      <c r="D30" s="11">
        <v>45554.62682145833</v>
      </c>
    </row>
    <row r="31">
      <c r="A31" s="5" t="s">
        <v>73</v>
      </c>
      <c r="B31" s="27">
        <v>200.0</v>
      </c>
      <c r="C31" s="24"/>
      <c r="D31" s="11">
        <v>45554.62696765046</v>
      </c>
    </row>
    <row r="32">
      <c r="A32" s="5" t="s">
        <v>73</v>
      </c>
      <c r="B32" s="27">
        <v>460.0</v>
      </c>
      <c r="C32" s="24"/>
      <c r="D32" s="11">
        <v>45554.627135347226</v>
      </c>
    </row>
    <row r="33">
      <c r="A33" s="5" t="s">
        <v>51</v>
      </c>
      <c r="B33" s="27">
        <v>300.0</v>
      </c>
      <c r="C33" s="24"/>
      <c r="D33" s="11">
        <v>45557.87661944445</v>
      </c>
    </row>
    <row r="34">
      <c r="A34" s="5" t="s">
        <v>42</v>
      </c>
      <c r="B34" s="31">
        <v>177.0</v>
      </c>
      <c r="C34" s="24"/>
      <c r="D34" s="11">
        <v>45558.47570335648</v>
      </c>
    </row>
    <row r="35">
      <c r="A35" s="5" t="s">
        <v>36</v>
      </c>
      <c r="B35" s="31">
        <v>46.0</v>
      </c>
      <c r="C35" s="24"/>
      <c r="D35" s="11">
        <v>45558.47582907407</v>
      </c>
    </row>
    <row r="36">
      <c r="A36" s="5" t="s">
        <v>56</v>
      </c>
      <c r="B36" s="27">
        <v>6.0</v>
      </c>
      <c r="C36" s="24" t="s">
        <v>832</v>
      </c>
      <c r="D36" s="11">
        <v>45558.47598270833</v>
      </c>
    </row>
    <row r="37">
      <c r="A37" s="5" t="s">
        <v>772</v>
      </c>
      <c r="B37" s="30">
        <v>20.0</v>
      </c>
      <c r="C37" s="24"/>
      <c r="D37" s="11">
        <v>45558.476182962964</v>
      </c>
    </row>
    <row r="38">
      <c r="A38" s="5" t="s">
        <v>36</v>
      </c>
      <c r="B38" s="27">
        <v>1200.0</v>
      </c>
      <c r="C38" s="24"/>
      <c r="D38" s="11">
        <v>45558.47709858796</v>
      </c>
    </row>
    <row r="39">
      <c r="A39" s="5" t="s">
        <v>36</v>
      </c>
      <c r="B39" s="32">
        <v>66.0</v>
      </c>
      <c r="C39" s="24"/>
      <c r="D39" s="11">
        <v>45558.4773524537</v>
      </c>
    </row>
    <row r="40">
      <c r="A40" s="5" t="s">
        <v>50</v>
      </c>
      <c r="B40" s="27">
        <v>300.0</v>
      </c>
      <c r="C40" s="24" t="s">
        <v>833</v>
      </c>
      <c r="D40" s="11">
        <v>45558.477551909724</v>
      </c>
    </row>
    <row r="41">
      <c r="A41" s="5" t="s">
        <v>56</v>
      </c>
      <c r="B41" s="27">
        <v>44.0</v>
      </c>
      <c r="C41" s="24" t="s">
        <v>834</v>
      </c>
      <c r="D41" s="11">
        <v>45558.47806150463</v>
      </c>
    </row>
    <row r="42">
      <c r="A42" s="5" t="s">
        <v>36</v>
      </c>
      <c r="B42" s="27">
        <v>20.0</v>
      </c>
      <c r="C42" s="24"/>
      <c r="D42" s="11">
        <v>45558.478193020834</v>
      </c>
    </row>
    <row r="43">
      <c r="A43" s="5" t="s">
        <v>80</v>
      </c>
      <c r="B43" s="27">
        <v>70.0</v>
      </c>
      <c r="C43" s="24"/>
      <c r="D43" s="11">
        <v>45558.47825965278</v>
      </c>
    </row>
    <row r="44">
      <c r="A44" s="5" t="s">
        <v>36</v>
      </c>
      <c r="B44" s="27">
        <v>40.0</v>
      </c>
      <c r="C44" s="24"/>
      <c r="D44" s="11">
        <v>45558.478395011574</v>
      </c>
    </row>
    <row r="45">
      <c r="A45" s="5" t="s">
        <v>56</v>
      </c>
      <c r="B45" s="27">
        <v>20.0</v>
      </c>
      <c r="C45" s="24" t="s">
        <v>835</v>
      </c>
      <c r="D45" s="11">
        <v>45559.81989100695</v>
      </c>
    </row>
    <row r="46">
      <c r="A46" s="5" t="s">
        <v>56</v>
      </c>
      <c r="B46" s="27">
        <v>40.0</v>
      </c>
      <c r="C46" s="24" t="s">
        <v>836</v>
      </c>
      <c r="D46" s="11">
        <v>45559.81999497685</v>
      </c>
    </row>
    <row r="47">
      <c r="A47" s="5" t="s">
        <v>56</v>
      </c>
      <c r="B47" s="27">
        <v>100.0</v>
      </c>
      <c r="C47" s="24" t="s">
        <v>789</v>
      </c>
      <c r="D47" s="11">
        <v>45559.82007541667</v>
      </c>
    </row>
    <row r="48">
      <c r="A48" s="5" t="s">
        <v>36</v>
      </c>
      <c r="B48" s="27">
        <v>18.0</v>
      </c>
      <c r="C48" s="24"/>
      <c r="D48" s="11">
        <v>45559.8204800463</v>
      </c>
    </row>
    <row r="49">
      <c r="A49" s="5" t="s">
        <v>73</v>
      </c>
      <c r="B49" s="27">
        <v>200.0</v>
      </c>
      <c r="C49" s="24" t="s">
        <v>821</v>
      </c>
      <c r="D49" s="11">
        <v>45559.821051527775</v>
      </c>
    </row>
    <row r="50">
      <c r="A50" s="5" t="s">
        <v>56</v>
      </c>
      <c r="B50" s="27">
        <v>1603.0</v>
      </c>
      <c r="C50" s="24" t="s">
        <v>837</v>
      </c>
      <c r="D50" s="11">
        <v>45559.8269659838</v>
      </c>
    </row>
    <row r="51">
      <c r="A51" s="5" t="s">
        <v>56</v>
      </c>
      <c r="B51" s="27">
        <v>60.0</v>
      </c>
      <c r="C51" s="24" t="s">
        <v>838</v>
      </c>
      <c r="D51" s="11">
        <v>45559.827243148145</v>
      </c>
    </row>
    <row r="52">
      <c r="A52" s="5" t="s">
        <v>56</v>
      </c>
      <c r="B52" s="27">
        <v>25.0</v>
      </c>
      <c r="C52" s="24" t="s">
        <v>58</v>
      </c>
      <c r="D52" s="11">
        <v>45559.827305405095</v>
      </c>
    </row>
    <row r="53">
      <c r="A53" s="5" t="s">
        <v>56</v>
      </c>
      <c r="B53" s="27">
        <v>180.0</v>
      </c>
      <c r="C53" s="24" t="s">
        <v>839</v>
      </c>
      <c r="D53" s="11">
        <v>45559.82946202546</v>
      </c>
    </row>
    <row r="54">
      <c r="A54" s="5" t="s">
        <v>73</v>
      </c>
      <c r="B54" s="27">
        <v>200.0</v>
      </c>
      <c r="C54" s="24" t="s">
        <v>821</v>
      </c>
      <c r="D54" s="11">
        <v>45562.367613078706</v>
      </c>
    </row>
    <row r="55">
      <c r="A55" s="5" t="s">
        <v>50</v>
      </c>
      <c r="B55" s="27">
        <v>260.0</v>
      </c>
      <c r="C55" s="24" t="s">
        <v>817</v>
      </c>
      <c r="D55" s="11">
        <v>45565.90062217593</v>
      </c>
    </row>
    <row r="56">
      <c r="A56" s="5" t="s">
        <v>56</v>
      </c>
      <c r="B56" s="27">
        <v>50.0</v>
      </c>
      <c r="C56" s="24" t="s">
        <v>840</v>
      </c>
      <c r="D56" s="11">
        <v>45565.900722349535</v>
      </c>
    </row>
    <row r="57">
      <c r="A57" s="5" t="s">
        <v>58</v>
      </c>
      <c r="B57" s="27">
        <v>350.0</v>
      </c>
      <c r="C57" s="24" t="s">
        <v>841</v>
      </c>
      <c r="D57" s="11">
        <v>45570.50671101852</v>
      </c>
    </row>
    <row r="58">
      <c r="A58" s="5" t="s">
        <v>56</v>
      </c>
      <c r="B58" s="27">
        <v>175.0</v>
      </c>
      <c r="C58" s="24" t="s">
        <v>811</v>
      </c>
      <c r="D58" s="11">
        <v>45570.50681744213</v>
      </c>
    </row>
    <row r="59">
      <c r="A59" s="5" t="s">
        <v>56</v>
      </c>
      <c r="B59" s="27">
        <v>150.0</v>
      </c>
      <c r="C59" s="24" t="s">
        <v>788</v>
      </c>
      <c r="D59" s="11">
        <v>45570.50798178241</v>
      </c>
    </row>
    <row r="60">
      <c r="A60" s="5" t="s">
        <v>73</v>
      </c>
      <c r="B60" s="27">
        <v>200.0</v>
      </c>
      <c r="C60" s="24" t="s">
        <v>821</v>
      </c>
      <c r="D60" s="11">
        <v>45570.50823707176</v>
      </c>
    </row>
    <row r="61">
      <c r="A61" s="5" t="s">
        <v>56</v>
      </c>
      <c r="B61" s="27">
        <v>300.0</v>
      </c>
      <c r="C61" s="24" t="s">
        <v>842</v>
      </c>
      <c r="D61" s="11">
        <v>45570.50845282407</v>
      </c>
    </row>
    <row r="62">
      <c r="A62" s="5" t="s">
        <v>56</v>
      </c>
      <c r="B62" s="24">
        <v>1676.0</v>
      </c>
      <c r="C62" s="24"/>
      <c r="D62" s="11">
        <v>45570.509413761574</v>
      </c>
    </row>
    <row r="63">
      <c r="A63" s="5"/>
      <c r="B63" s="24"/>
      <c r="C63" s="24"/>
      <c r="D63" s="11"/>
    </row>
    <row r="64">
      <c r="A64" s="5"/>
      <c r="B64" s="24"/>
      <c r="C64" s="24"/>
      <c r="D64" s="11"/>
    </row>
    <row r="65">
      <c r="A65" s="5"/>
      <c r="B65" s="24"/>
      <c r="C65" s="24"/>
      <c r="D65" s="11"/>
    </row>
    <row r="66">
      <c r="A66" s="5"/>
      <c r="B66" s="24"/>
      <c r="C66" s="24"/>
      <c r="D66" s="11"/>
    </row>
    <row r="67">
      <c r="A67" s="5"/>
      <c r="B67" s="24"/>
      <c r="C67" s="24"/>
      <c r="D67" s="11"/>
    </row>
    <row r="68">
      <c r="A68" s="5"/>
      <c r="B68" s="24"/>
      <c r="C68" s="24"/>
      <c r="D68" s="11"/>
    </row>
    <row r="69">
      <c r="A69" s="5"/>
      <c r="B69" s="24"/>
      <c r="C69" s="24"/>
      <c r="D69" s="11"/>
    </row>
    <row r="70">
      <c r="A70" s="5"/>
      <c r="B70" s="24"/>
      <c r="C70" s="24"/>
      <c r="D70" s="11"/>
    </row>
    <row r="71">
      <c r="A71" s="5"/>
      <c r="B71" s="24"/>
      <c r="C71" s="24"/>
      <c r="D71" s="11"/>
    </row>
    <row r="72">
      <c r="A72" s="5"/>
      <c r="B72" s="24"/>
      <c r="C72" s="24"/>
      <c r="D72" s="11"/>
    </row>
    <row r="73">
      <c r="A73" s="5"/>
      <c r="B73" s="24"/>
      <c r="C73" s="24"/>
      <c r="D73" s="11"/>
    </row>
    <row r="74">
      <c r="A74" s="5"/>
      <c r="B74" s="24"/>
      <c r="C74" s="24"/>
      <c r="D74" s="11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15975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1000.0</v>
      </c>
      <c r="C3" s="24"/>
      <c r="D3" s="11">
        <v>45501.8466040162</v>
      </c>
      <c r="E3" s="1" t="s">
        <v>34</v>
      </c>
      <c r="F3" s="8">
        <v>35307.0</v>
      </c>
      <c r="H3" s="2">
        <f>Zbiorczy!D50</f>
        <v>160477.97</v>
      </c>
      <c r="J3" s="3">
        <f t="shared" ref="J3:J7" si="1">SUMIF($A$3:A$98, K3, B$3:B$98)</f>
        <v>3000</v>
      </c>
      <c r="K3" s="1" t="s">
        <v>35</v>
      </c>
      <c r="M3" s="3">
        <f t="shared" ref="M3:M8" si="2">SUMIF($A$3:A$98, N3, B$3:B$98)</f>
        <v>2114</v>
      </c>
      <c r="N3" s="1" t="s">
        <v>36</v>
      </c>
    </row>
    <row r="4">
      <c r="A4" s="5" t="s">
        <v>56</v>
      </c>
      <c r="B4" s="27">
        <v>54.0</v>
      </c>
      <c r="C4" s="24" t="s">
        <v>843</v>
      </c>
      <c r="D4" s="11">
        <v>45502.54388116898</v>
      </c>
      <c r="E4" s="1" t="s">
        <v>844</v>
      </c>
      <c r="F4" s="8"/>
      <c r="J4" s="3">
        <f t="shared" si="1"/>
        <v>4159</v>
      </c>
      <c r="K4" s="1" t="s">
        <v>40</v>
      </c>
      <c r="M4" s="3">
        <f t="shared" si="2"/>
        <v>18</v>
      </c>
      <c r="N4" s="1" t="s">
        <v>41</v>
      </c>
    </row>
    <row r="5">
      <c r="A5" s="5" t="s">
        <v>42</v>
      </c>
      <c r="B5" s="27">
        <v>173.0</v>
      </c>
      <c r="C5" s="24"/>
      <c r="D5" s="11">
        <v>45503.583418842594</v>
      </c>
      <c r="E5" s="1" t="s">
        <v>45</v>
      </c>
      <c r="J5" s="3">
        <f t="shared" si="1"/>
        <v>6204</v>
      </c>
      <c r="K5" s="1" t="s">
        <v>46</v>
      </c>
      <c r="M5" s="3">
        <f t="shared" si="2"/>
        <v>2494</v>
      </c>
      <c r="N5" s="1" t="s">
        <v>47</v>
      </c>
    </row>
    <row r="6">
      <c r="A6" s="5" t="s">
        <v>56</v>
      </c>
      <c r="B6" s="27">
        <v>170.0</v>
      </c>
      <c r="C6" s="24" t="s">
        <v>845</v>
      </c>
      <c r="D6" s="11">
        <v>45505.894900671294</v>
      </c>
      <c r="J6" s="3">
        <f t="shared" si="1"/>
        <v>2612</v>
      </c>
      <c r="K6" s="1" t="s">
        <v>50</v>
      </c>
      <c r="M6" s="3">
        <f t="shared" si="2"/>
        <v>677</v>
      </c>
      <c r="N6" s="1" t="s">
        <v>51</v>
      </c>
    </row>
    <row r="7">
      <c r="A7" s="5" t="s">
        <v>50</v>
      </c>
      <c r="B7" s="27">
        <v>200.0</v>
      </c>
      <c r="C7" s="28" t="s">
        <v>846</v>
      </c>
      <c r="D7" s="11">
        <v>45505.895205</v>
      </c>
      <c r="J7" s="3">
        <f t="shared" si="1"/>
        <v>0</v>
      </c>
      <c r="K7" s="1" t="s">
        <v>55</v>
      </c>
      <c r="M7" s="3">
        <f t="shared" si="2"/>
        <v>3863.33</v>
      </c>
      <c r="N7" s="1" t="s">
        <v>56</v>
      </c>
    </row>
    <row r="8">
      <c r="A8" s="5" t="s">
        <v>36</v>
      </c>
      <c r="B8" s="27">
        <v>37.0</v>
      </c>
      <c r="C8" s="5"/>
      <c r="D8" s="11">
        <v>45505.8953646875</v>
      </c>
      <c r="M8" s="3">
        <f t="shared" si="2"/>
        <v>2494</v>
      </c>
      <c r="N8" s="1" t="s">
        <v>47</v>
      </c>
    </row>
    <row r="9">
      <c r="A9" s="5" t="s">
        <v>80</v>
      </c>
      <c r="B9" s="27">
        <v>28.0</v>
      </c>
      <c r="C9" s="24"/>
      <c r="D9" s="11">
        <v>45505.89541377315</v>
      </c>
    </row>
    <row r="10">
      <c r="A10" s="5" t="s">
        <v>307</v>
      </c>
      <c r="B10" s="27">
        <v>80.0</v>
      </c>
      <c r="C10" s="24" t="s">
        <v>813</v>
      </c>
      <c r="D10" s="11">
        <v>45505.89556074074</v>
      </c>
    </row>
    <row r="11">
      <c r="A11" s="5" t="s">
        <v>73</v>
      </c>
      <c r="B11" s="27">
        <v>100.0</v>
      </c>
      <c r="C11" s="24" t="s">
        <v>847</v>
      </c>
      <c r="D11" s="11">
        <v>45505.895720925924</v>
      </c>
    </row>
    <row r="12">
      <c r="A12" s="5" t="s">
        <v>56</v>
      </c>
      <c r="B12" s="27">
        <v>1000.0</v>
      </c>
      <c r="C12" s="24" t="s">
        <v>777</v>
      </c>
      <c r="D12" s="11">
        <v>45505.895876712966</v>
      </c>
    </row>
    <row r="13">
      <c r="A13" s="5" t="s">
        <v>36</v>
      </c>
      <c r="B13" s="24">
        <v>10.0</v>
      </c>
      <c r="C13" s="24"/>
      <c r="D13" s="11">
        <v>45505.89603390046</v>
      </c>
    </row>
    <row r="14">
      <c r="A14" s="5" t="s">
        <v>50</v>
      </c>
      <c r="B14" s="27">
        <v>350.0</v>
      </c>
      <c r="C14" s="24" t="s">
        <v>780</v>
      </c>
      <c r="D14" s="11">
        <v>45505.89718101852</v>
      </c>
    </row>
    <row r="15">
      <c r="A15" s="5" t="s">
        <v>50</v>
      </c>
      <c r="B15" s="27">
        <v>1382.0</v>
      </c>
      <c r="C15" s="24"/>
      <c r="D15" s="11">
        <v>45505.899256226854</v>
      </c>
    </row>
    <row r="16">
      <c r="A16" s="5" t="s">
        <v>50</v>
      </c>
      <c r="B16" s="27">
        <v>580.0</v>
      </c>
      <c r="C16" s="24"/>
      <c r="D16" s="11">
        <v>45509.34372491898</v>
      </c>
    </row>
    <row r="17">
      <c r="A17" s="5" t="s">
        <v>56</v>
      </c>
      <c r="B17" s="27">
        <v>140.0</v>
      </c>
      <c r="C17" s="24" t="s">
        <v>848</v>
      </c>
      <c r="D17" s="11">
        <v>45509.3473696875</v>
      </c>
    </row>
    <row r="18">
      <c r="A18" s="5" t="s">
        <v>36</v>
      </c>
      <c r="B18" s="27">
        <v>72.0</v>
      </c>
      <c r="C18" s="24"/>
      <c r="D18" s="11">
        <v>45509.34748136574</v>
      </c>
    </row>
    <row r="19">
      <c r="A19" s="5" t="s">
        <v>36</v>
      </c>
      <c r="B19" s="27">
        <v>36.0</v>
      </c>
      <c r="C19" s="24"/>
      <c r="D19" s="11">
        <v>45509.347854479165</v>
      </c>
    </row>
    <row r="20">
      <c r="A20" s="5" t="s">
        <v>80</v>
      </c>
      <c r="B20" s="29">
        <v>28.0</v>
      </c>
      <c r="C20" s="24"/>
      <c r="D20" s="11">
        <v>45509.347908923606</v>
      </c>
    </row>
    <row r="21">
      <c r="A21" s="5" t="s">
        <v>36</v>
      </c>
      <c r="B21" s="27">
        <v>300.0</v>
      </c>
      <c r="C21" s="24"/>
      <c r="D21" s="11">
        <v>45509.34811460648</v>
      </c>
      <c r="E21" s="11"/>
      <c r="F21" s="11"/>
      <c r="G21" s="11"/>
    </row>
    <row r="22">
      <c r="A22" s="5" t="s">
        <v>56</v>
      </c>
      <c r="B22" s="27">
        <v>255.0</v>
      </c>
      <c r="C22" s="24" t="s">
        <v>849</v>
      </c>
      <c r="D22" s="11">
        <v>45509.34820806713</v>
      </c>
    </row>
    <row r="23">
      <c r="A23" s="5" t="s">
        <v>56</v>
      </c>
      <c r="B23" s="27">
        <v>105.0</v>
      </c>
      <c r="C23" s="24" t="s">
        <v>850</v>
      </c>
      <c r="D23" s="11">
        <v>45509.34835221065</v>
      </c>
    </row>
    <row r="24">
      <c r="A24" s="5" t="s">
        <v>80</v>
      </c>
      <c r="B24" s="27">
        <v>18.0</v>
      </c>
      <c r="C24" s="24"/>
      <c r="D24" s="11">
        <v>45509.34848523149</v>
      </c>
    </row>
    <row r="25">
      <c r="A25" s="5" t="s">
        <v>36</v>
      </c>
      <c r="B25" s="27">
        <v>7.0</v>
      </c>
      <c r="C25" s="24"/>
      <c r="D25" s="11">
        <v>45509.34859368055</v>
      </c>
    </row>
    <row r="26">
      <c r="A26" s="5" t="s">
        <v>36</v>
      </c>
      <c r="B26" s="27">
        <v>12.0</v>
      </c>
      <c r="C26" s="24"/>
      <c r="D26" s="11">
        <v>45509.34871269676</v>
      </c>
    </row>
    <row r="27">
      <c r="A27" s="5" t="s">
        <v>58</v>
      </c>
      <c r="B27" s="27">
        <v>350.0</v>
      </c>
      <c r="C27" s="24" t="s">
        <v>396</v>
      </c>
      <c r="D27" s="11">
        <v>45509.34918186342</v>
      </c>
    </row>
    <row r="28">
      <c r="A28" s="5" t="s">
        <v>51</v>
      </c>
      <c r="B28" s="30">
        <v>227.0</v>
      </c>
      <c r="C28" s="24"/>
      <c r="D28" s="11">
        <v>45509.3493022801</v>
      </c>
    </row>
    <row r="29">
      <c r="A29" s="5" t="s">
        <v>56</v>
      </c>
      <c r="B29" s="30">
        <v>176.0</v>
      </c>
      <c r="C29" s="24" t="s">
        <v>811</v>
      </c>
      <c r="D29" s="11">
        <v>45509.34960398148</v>
      </c>
    </row>
    <row r="30">
      <c r="A30" s="5" t="s">
        <v>56</v>
      </c>
      <c r="B30" s="30">
        <v>70.0</v>
      </c>
      <c r="C30" s="24" t="s">
        <v>851</v>
      </c>
      <c r="D30" s="11">
        <v>45509.56840626158</v>
      </c>
    </row>
    <row r="31">
      <c r="A31" s="5" t="s">
        <v>80</v>
      </c>
      <c r="B31" s="27">
        <v>37.0</v>
      </c>
      <c r="C31" s="24" t="s">
        <v>852</v>
      </c>
      <c r="D31" s="11">
        <v>45510.69935879629</v>
      </c>
    </row>
    <row r="32">
      <c r="A32" s="5" t="s">
        <v>36</v>
      </c>
      <c r="B32" s="27">
        <v>78.0</v>
      </c>
      <c r="C32" s="24"/>
      <c r="D32" s="11">
        <v>45511.34490148148</v>
      </c>
    </row>
    <row r="33">
      <c r="A33" s="5" t="s">
        <v>56</v>
      </c>
      <c r="B33" s="27">
        <v>600.0</v>
      </c>
      <c r="C33" s="24" t="s">
        <v>826</v>
      </c>
      <c r="D33" s="11">
        <v>45511.53839361111</v>
      </c>
    </row>
    <row r="34">
      <c r="A34" s="5" t="s">
        <v>47</v>
      </c>
      <c r="B34" s="31">
        <v>2332.0</v>
      </c>
      <c r="C34" s="24"/>
      <c r="D34" s="11">
        <v>45512.3669854051</v>
      </c>
    </row>
    <row r="35">
      <c r="A35" s="5" t="s">
        <v>58</v>
      </c>
      <c r="B35" s="31">
        <v>228.0</v>
      </c>
      <c r="C35" s="24" t="s">
        <v>815</v>
      </c>
      <c r="D35" s="11">
        <v>45512.36821909722</v>
      </c>
    </row>
    <row r="36">
      <c r="A36" s="5" t="s">
        <v>58</v>
      </c>
      <c r="B36" s="27">
        <v>83.0</v>
      </c>
      <c r="C36" s="24" t="s">
        <v>783</v>
      </c>
      <c r="D36" s="11">
        <v>45512.36887954861</v>
      </c>
    </row>
    <row r="37">
      <c r="A37" s="5" t="s">
        <v>40</v>
      </c>
      <c r="B37" s="30">
        <v>4159.0</v>
      </c>
      <c r="C37" s="24"/>
      <c r="D37" s="11">
        <v>45518.37892128472</v>
      </c>
    </row>
    <row r="38">
      <c r="A38" s="5" t="s">
        <v>46</v>
      </c>
      <c r="B38" s="27">
        <v>6204.0</v>
      </c>
      <c r="C38" s="24"/>
      <c r="D38" s="11">
        <v>45518.379112511575</v>
      </c>
    </row>
    <row r="39">
      <c r="A39" s="5" t="s">
        <v>50</v>
      </c>
      <c r="B39" s="32">
        <v>100.0</v>
      </c>
      <c r="C39" s="24" t="s">
        <v>822</v>
      </c>
      <c r="D39" s="11">
        <v>45518.379235451386</v>
      </c>
    </row>
    <row r="40">
      <c r="A40" s="5" t="s">
        <v>56</v>
      </c>
      <c r="B40" s="27">
        <v>100.0</v>
      </c>
      <c r="C40" s="24" t="s">
        <v>789</v>
      </c>
      <c r="D40" s="11">
        <v>45518.379377210644</v>
      </c>
    </row>
    <row r="41">
      <c r="A41" s="5" t="s">
        <v>47</v>
      </c>
      <c r="B41" s="27">
        <v>64.0</v>
      </c>
      <c r="C41" s="24" t="s">
        <v>853</v>
      </c>
      <c r="D41" s="11">
        <v>45518.37964663195</v>
      </c>
    </row>
    <row r="42">
      <c r="A42" s="5" t="s">
        <v>51</v>
      </c>
      <c r="B42" s="27">
        <v>213.0</v>
      </c>
      <c r="C42" s="24"/>
      <c r="D42" s="11">
        <v>45518.37974498843</v>
      </c>
    </row>
    <row r="43">
      <c r="A43" s="5" t="s">
        <v>47</v>
      </c>
      <c r="B43" s="27">
        <v>62.0</v>
      </c>
      <c r="C43" s="24" t="s">
        <v>853</v>
      </c>
      <c r="D43" s="11">
        <v>45518.37984392361</v>
      </c>
    </row>
    <row r="44">
      <c r="A44" s="5" t="s">
        <v>51</v>
      </c>
      <c r="B44" s="27">
        <v>155.0</v>
      </c>
      <c r="C44" s="24"/>
      <c r="D44" s="11">
        <v>45518.37991212963</v>
      </c>
    </row>
    <row r="45">
      <c r="A45" s="5" t="s">
        <v>56</v>
      </c>
      <c r="B45" s="27">
        <v>25.0</v>
      </c>
      <c r="C45" s="24" t="s">
        <v>854</v>
      </c>
      <c r="D45" s="11">
        <v>45518.380166365736</v>
      </c>
    </row>
    <row r="46">
      <c r="A46" s="5" t="s">
        <v>36</v>
      </c>
      <c r="B46" s="27">
        <v>150.0</v>
      </c>
      <c r="C46" s="24"/>
      <c r="D46" s="11">
        <v>45518.38031310185</v>
      </c>
    </row>
    <row r="47">
      <c r="A47" s="5" t="s">
        <v>56</v>
      </c>
      <c r="B47" s="27">
        <v>240.0</v>
      </c>
      <c r="C47" s="24" t="s">
        <v>855</v>
      </c>
      <c r="D47" s="11">
        <v>45518.380456597224</v>
      </c>
    </row>
    <row r="48">
      <c r="A48" s="5" t="s">
        <v>36</v>
      </c>
      <c r="B48" s="27">
        <v>5.0</v>
      </c>
      <c r="C48" s="24"/>
      <c r="D48" s="11">
        <v>45518.380579652774</v>
      </c>
    </row>
    <row r="49">
      <c r="A49" s="5" t="s">
        <v>36</v>
      </c>
      <c r="B49" s="27">
        <v>80.0</v>
      </c>
      <c r="C49" s="24"/>
      <c r="D49" s="11">
        <v>45518.38063966435</v>
      </c>
    </row>
    <row r="50">
      <c r="A50" s="5" t="s">
        <v>56</v>
      </c>
      <c r="B50" s="27">
        <v>100.0</v>
      </c>
      <c r="C50" s="24" t="s">
        <v>856</v>
      </c>
      <c r="D50" s="11">
        <v>45518.38078383102</v>
      </c>
    </row>
    <row r="51">
      <c r="A51" s="5" t="s">
        <v>80</v>
      </c>
      <c r="B51" s="27">
        <v>35.0</v>
      </c>
      <c r="C51" s="24"/>
      <c r="D51" s="11">
        <v>45518.380905972226</v>
      </c>
    </row>
    <row r="52">
      <c r="A52" s="5" t="s">
        <v>201</v>
      </c>
      <c r="B52" s="27">
        <v>3000.0</v>
      </c>
      <c r="C52" s="24"/>
      <c r="D52" s="11">
        <v>45518.61341667824</v>
      </c>
    </row>
    <row r="53">
      <c r="A53" s="5" t="s">
        <v>42</v>
      </c>
      <c r="B53" s="27">
        <v>192.0</v>
      </c>
      <c r="C53" s="24"/>
      <c r="D53" s="11">
        <v>45525.3815721412</v>
      </c>
    </row>
    <row r="54">
      <c r="A54" s="5" t="s">
        <v>73</v>
      </c>
      <c r="B54" s="27">
        <v>200.0</v>
      </c>
      <c r="C54" s="24" t="s">
        <v>857</v>
      </c>
      <c r="D54" s="11">
        <v>45538.8274604051</v>
      </c>
    </row>
    <row r="55">
      <c r="A55" s="5" t="s">
        <v>73</v>
      </c>
      <c r="B55" s="27">
        <v>250.0</v>
      </c>
      <c r="C55" s="24" t="s">
        <v>858</v>
      </c>
      <c r="D55" s="11">
        <v>45538.827531874995</v>
      </c>
    </row>
    <row r="56">
      <c r="A56" s="5" t="s">
        <v>56</v>
      </c>
      <c r="B56" s="27">
        <v>88.0</v>
      </c>
      <c r="C56" s="24" t="s">
        <v>859</v>
      </c>
      <c r="D56" s="11">
        <v>45538.827641145836</v>
      </c>
    </row>
    <row r="57">
      <c r="A57" s="5" t="s">
        <v>37</v>
      </c>
      <c r="B57" s="27">
        <v>20.0</v>
      </c>
      <c r="C57" s="24" t="s">
        <v>860</v>
      </c>
      <c r="D57" s="11">
        <v>45538.82779635416</v>
      </c>
    </row>
    <row r="58">
      <c r="A58" s="5" t="s">
        <v>56</v>
      </c>
      <c r="B58" s="27">
        <v>16.0</v>
      </c>
      <c r="C58" s="24" t="s">
        <v>861</v>
      </c>
      <c r="D58" s="11">
        <v>45538.8279002662</v>
      </c>
    </row>
    <row r="59">
      <c r="A59" s="5" t="s">
        <v>37</v>
      </c>
      <c r="B59" s="27">
        <v>10.0</v>
      </c>
      <c r="C59" s="24"/>
      <c r="D59" s="11">
        <v>45538.82802739584</v>
      </c>
    </row>
    <row r="60">
      <c r="A60" s="5" t="s">
        <v>772</v>
      </c>
      <c r="B60" s="27">
        <v>21.0</v>
      </c>
      <c r="C60" s="24"/>
      <c r="D60" s="11">
        <v>45538.82808710648</v>
      </c>
    </row>
    <row r="61">
      <c r="A61" s="5" t="s">
        <v>58</v>
      </c>
      <c r="B61" s="27">
        <v>20.0</v>
      </c>
      <c r="C61" s="24"/>
      <c r="D61" s="11">
        <v>45538.8281887037</v>
      </c>
    </row>
    <row r="62">
      <c r="A62" s="5" t="s">
        <v>36</v>
      </c>
      <c r="B62" s="24">
        <v>108.0</v>
      </c>
      <c r="C62" s="24"/>
      <c r="D62" s="11">
        <v>45538.828508402774</v>
      </c>
    </row>
    <row r="63">
      <c r="A63" s="5" t="s">
        <v>41</v>
      </c>
      <c r="B63" s="24">
        <v>11.0</v>
      </c>
      <c r="C63" s="24"/>
      <c r="D63" s="11">
        <v>45538.82860355324</v>
      </c>
    </row>
    <row r="64">
      <c r="A64" s="5" t="s">
        <v>36</v>
      </c>
      <c r="B64" s="24">
        <v>20.0</v>
      </c>
      <c r="C64" s="24"/>
      <c r="D64" s="11">
        <v>45538.828698576384</v>
      </c>
    </row>
    <row r="65">
      <c r="A65" s="5" t="s">
        <v>56</v>
      </c>
      <c r="B65" s="24">
        <v>90.0</v>
      </c>
      <c r="C65" s="24" t="s">
        <v>862</v>
      </c>
      <c r="D65" s="11">
        <v>45538.828763020836</v>
      </c>
    </row>
    <row r="66">
      <c r="A66" s="5" t="s">
        <v>47</v>
      </c>
      <c r="B66" s="24">
        <v>20.0</v>
      </c>
      <c r="C66" s="24" t="s">
        <v>780</v>
      </c>
      <c r="D66" s="11">
        <v>45538.82963814815</v>
      </c>
    </row>
    <row r="67">
      <c r="A67" s="5" t="s">
        <v>56</v>
      </c>
      <c r="B67" s="24">
        <v>30.0</v>
      </c>
      <c r="C67" s="24" t="s">
        <v>825</v>
      </c>
      <c r="D67" s="11">
        <v>45538.829742546295</v>
      </c>
    </row>
    <row r="68">
      <c r="A68" s="5" t="s">
        <v>80</v>
      </c>
      <c r="B68" s="24">
        <v>19.0</v>
      </c>
      <c r="C68" s="24"/>
      <c r="D68" s="11">
        <v>45538.82997813658</v>
      </c>
    </row>
    <row r="69">
      <c r="A69" s="5" t="s">
        <v>56</v>
      </c>
      <c r="B69" s="24">
        <v>37.0</v>
      </c>
      <c r="C69" s="24" t="s">
        <v>863</v>
      </c>
      <c r="D69" s="11">
        <v>45538.830058402775</v>
      </c>
    </row>
    <row r="70">
      <c r="A70" s="5" t="s">
        <v>73</v>
      </c>
      <c r="B70" s="24">
        <v>200.0</v>
      </c>
      <c r="C70" s="24" t="s">
        <v>857</v>
      </c>
      <c r="D70" s="11">
        <v>45538.83017234954</v>
      </c>
    </row>
    <row r="71">
      <c r="A71" s="5" t="s">
        <v>37</v>
      </c>
      <c r="B71" s="24">
        <v>10.0</v>
      </c>
      <c r="C71" s="24"/>
      <c r="D71" s="11">
        <v>45538.83027289352</v>
      </c>
    </row>
    <row r="72">
      <c r="A72" s="5" t="s">
        <v>56</v>
      </c>
      <c r="B72" s="24">
        <v>51.0</v>
      </c>
      <c r="C72" s="24" t="s">
        <v>864</v>
      </c>
      <c r="D72" s="11">
        <v>45538.83038663195</v>
      </c>
    </row>
    <row r="73">
      <c r="A73" s="5" t="s">
        <v>56</v>
      </c>
      <c r="B73" s="24">
        <v>50.0</v>
      </c>
      <c r="C73" s="24" t="s">
        <v>865</v>
      </c>
      <c r="D73" s="11">
        <v>45538.830517546296</v>
      </c>
    </row>
    <row r="74">
      <c r="A74" s="5" t="s">
        <v>41</v>
      </c>
      <c r="B74" s="24">
        <v>7.0</v>
      </c>
      <c r="C74" s="24"/>
      <c r="D74" s="11">
        <v>45538.83089678241</v>
      </c>
    </row>
    <row r="75">
      <c r="A75" s="5" t="s">
        <v>80</v>
      </c>
      <c r="B75" s="24">
        <v>20.0</v>
      </c>
      <c r="C75" s="24"/>
      <c r="D75" s="11">
        <v>45538.8309482176</v>
      </c>
    </row>
    <row r="76">
      <c r="A76" s="5" t="s">
        <v>56</v>
      </c>
      <c r="B76" s="24">
        <v>20.0</v>
      </c>
      <c r="C76" s="24" t="s">
        <v>866</v>
      </c>
      <c r="D76" s="11">
        <v>45538.83109886574</v>
      </c>
    </row>
    <row r="77">
      <c r="A77" s="5" t="s">
        <v>56</v>
      </c>
      <c r="B77" s="24">
        <v>33.33</v>
      </c>
      <c r="C77" s="24" t="s">
        <v>867</v>
      </c>
      <c r="D77" s="11">
        <v>45538.831295474534</v>
      </c>
    </row>
    <row r="78">
      <c r="A78" s="5" t="s">
        <v>56</v>
      </c>
      <c r="B78" s="24">
        <v>30.0</v>
      </c>
      <c r="C78" s="24" t="s">
        <v>868</v>
      </c>
      <c r="D78" s="11">
        <v>45538.83141417824</v>
      </c>
    </row>
    <row r="79">
      <c r="A79" s="5" t="s">
        <v>56</v>
      </c>
      <c r="B79" s="24">
        <v>46.0</v>
      </c>
      <c r="C79" s="24" t="s">
        <v>869</v>
      </c>
      <c r="D79" s="11">
        <v>45538.83150612269</v>
      </c>
    </row>
    <row r="80">
      <c r="A80" s="5" t="s">
        <v>80</v>
      </c>
      <c r="B80" s="24">
        <v>9.0</v>
      </c>
      <c r="C80" s="24" t="s">
        <v>870</v>
      </c>
      <c r="D80" s="11">
        <v>45538.83169998843</v>
      </c>
    </row>
    <row r="81">
      <c r="A81" s="5" t="s">
        <v>56</v>
      </c>
      <c r="B81" s="24">
        <v>22.0</v>
      </c>
      <c r="C81" s="24" t="s">
        <v>871</v>
      </c>
      <c r="D81" s="11">
        <v>45538.83184943287</v>
      </c>
    </row>
    <row r="82">
      <c r="A82" s="5" t="s">
        <v>56</v>
      </c>
      <c r="B82" s="24">
        <v>51.0</v>
      </c>
      <c r="C82" s="24" t="s">
        <v>806</v>
      </c>
      <c r="D82" s="11">
        <v>45538.831918310185</v>
      </c>
    </row>
    <row r="83">
      <c r="A83" s="5" t="s">
        <v>56</v>
      </c>
      <c r="B83" s="24">
        <v>80.0</v>
      </c>
      <c r="C83" s="24" t="s">
        <v>872</v>
      </c>
      <c r="D83" s="11">
        <v>45538.83205386574</v>
      </c>
    </row>
    <row r="84">
      <c r="A84" s="5" t="s">
        <v>56</v>
      </c>
      <c r="B84" s="24">
        <v>58.0</v>
      </c>
      <c r="C84" s="24" t="s">
        <v>873</v>
      </c>
      <c r="D84" s="11">
        <v>45538.83251153935</v>
      </c>
    </row>
    <row r="85">
      <c r="A85" s="5" t="s">
        <v>772</v>
      </c>
      <c r="B85" s="24">
        <v>12.0</v>
      </c>
      <c r="C85" s="24"/>
      <c r="D85" s="11">
        <v>45538.83262443287</v>
      </c>
    </row>
    <row r="86">
      <c r="A86" s="5" t="s">
        <v>772</v>
      </c>
      <c r="B86" s="24">
        <v>17.0</v>
      </c>
      <c r="C86" s="24"/>
      <c r="D86" s="11">
        <v>45538.83274238426</v>
      </c>
    </row>
    <row r="87">
      <c r="A87" s="5" t="s">
        <v>56</v>
      </c>
      <c r="B87" s="24">
        <v>65.0</v>
      </c>
      <c r="C87" s="24" t="s">
        <v>874</v>
      </c>
      <c r="D87" s="11">
        <v>45538.83281236111</v>
      </c>
    </row>
    <row r="88">
      <c r="A88" s="5" t="s">
        <v>80</v>
      </c>
      <c r="B88" s="24">
        <v>18.0</v>
      </c>
      <c r="C88" s="24"/>
      <c r="D88" s="11">
        <v>45538.83291557871</v>
      </c>
    </row>
    <row r="89">
      <c r="A89" s="5" t="s">
        <v>47</v>
      </c>
      <c r="B89" s="24">
        <v>16.0</v>
      </c>
      <c r="C89" s="24" t="s">
        <v>875</v>
      </c>
      <c r="D89" s="11">
        <v>45538.833037372686</v>
      </c>
    </row>
    <row r="90">
      <c r="A90" s="5" t="s">
        <v>36</v>
      </c>
      <c r="B90" s="24">
        <v>16.0</v>
      </c>
      <c r="C90" s="24"/>
      <c r="D90" s="11">
        <v>45538.83315215277</v>
      </c>
    </row>
    <row r="91">
      <c r="A91" s="5" t="s">
        <v>56</v>
      </c>
      <c r="B91" s="24">
        <v>20.0</v>
      </c>
      <c r="C91" s="24" t="s">
        <v>876</v>
      </c>
      <c r="D91" s="11">
        <v>45538.83321989584</v>
      </c>
    </row>
    <row r="92">
      <c r="A92" s="5" t="s">
        <v>56</v>
      </c>
      <c r="B92" s="24">
        <v>41.0</v>
      </c>
      <c r="C92" s="24" t="s">
        <v>877</v>
      </c>
      <c r="D92" s="11">
        <v>45538.83331996528</v>
      </c>
    </row>
    <row r="93">
      <c r="A93" s="5" t="s">
        <v>58</v>
      </c>
      <c r="B93" s="24">
        <v>15.0</v>
      </c>
      <c r="C93" s="24" t="s">
        <v>803</v>
      </c>
      <c r="D93" s="11">
        <v>45538.83341694444</v>
      </c>
    </row>
    <row r="94">
      <c r="A94" s="5" t="s">
        <v>36</v>
      </c>
      <c r="B94" s="24">
        <v>32.0</v>
      </c>
      <c r="C94" s="24"/>
      <c r="D94" s="11">
        <v>45538.83355548611</v>
      </c>
    </row>
    <row r="95">
      <c r="A95" s="5" t="s">
        <v>36</v>
      </c>
      <c r="B95" s="24">
        <v>151.0</v>
      </c>
      <c r="C95" s="24" t="s">
        <v>878</v>
      </c>
      <c r="D95" s="11">
        <v>45538.83377915509</v>
      </c>
    </row>
    <row r="96">
      <c r="A96" s="5" t="s">
        <v>148</v>
      </c>
      <c r="B96" s="24">
        <v>38.0</v>
      </c>
      <c r="C96" s="13"/>
      <c r="D96" s="11">
        <v>45538.83551451389</v>
      </c>
    </row>
    <row r="97">
      <c r="A97" s="5" t="s">
        <v>80</v>
      </c>
      <c r="B97" s="24">
        <v>35.0</v>
      </c>
      <c r="C97" s="13"/>
      <c r="D97" s="11">
        <v>45538.83561834491</v>
      </c>
    </row>
    <row r="98">
      <c r="A98" s="5" t="s">
        <v>51</v>
      </c>
      <c r="B98" s="24">
        <v>82.0</v>
      </c>
      <c r="C98" s="13"/>
      <c r="D98" s="11">
        <v>45538.83701981482</v>
      </c>
    </row>
    <row r="99">
      <c r="A99" s="5" t="s">
        <v>51</v>
      </c>
      <c r="B99" s="24">
        <v>158.0</v>
      </c>
      <c r="C99" s="13"/>
      <c r="D99" s="11">
        <v>45538.83721081019</v>
      </c>
    </row>
    <row r="100">
      <c r="A100" s="5" t="s">
        <v>51</v>
      </c>
      <c r="B100" s="24">
        <v>196.0</v>
      </c>
      <c r="C100" s="13"/>
      <c r="D100" s="11">
        <v>45538.83728746528</v>
      </c>
    </row>
    <row r="101">
      <c r="A101" s="5" t="s">
        <v>58</v>
      </c>
      <c r="B101" s="24">
        <v>350.0</v>
      </c>
      <c r="C101" s="13"/>
      <c r="D101" s="11">
        <v>45538.837697627314</v>
      </c>
    </row>
    <row r="102">
      <c r="A102" s="5" t="s">
        <v>47</v>
      </c>
      <c r="B102" s="24">
        <v>230.0</v>
      </c>
      <c r="C102" s="24" t="s">
        <v>875</v>
      </c>
      <c r="D102" s="11">
        <v>45538.83775037037</v>
      </c>
    </row>
    <row r="103">
      <c r="A103" s="5" t="s">
        <v>51</v>
      </c>
      <c r="B103" s="24">
        <v>192.0</v>
      </c>
      <c r="C103" s="13"/>
      <c r="D103" s="11">
        <v>45538.83784559028</v>
      </c>
    </row>
    <row r="104">
      <c r="A104" s="5" t="s">
        <v>51</v>
      </c>
      <c r="B104" s="24">
        <v>179.0</v>
      </c>
      <c r="C104" s="13"/>
      <c r="D104" s="11">
        <v>45538.837920185186</v>
      </c>
    </row>
    <row r="105">
      <c r="A105" s="5" t="s">
        <v>51</v>
      </c>
      <c r="B105" s="24">
        <v>46.0</v>
      </c>
      <c r="C105" s="13"/>
      <c r="D105" s="11">
        <v>45538.837992824076</v>
      </c>
    </row>
    <row r="106">
      <c r="A106" s="5" t="s">
        <v>51</v>
      </c>
      <c r="B106" s="24">
        <v>238.0</v>
      </c>
      <c r="C106" s="13"/>
      <c r="D106" s="11">
        <v>45538.838049722224</v>
      </c>
    </row>
    <row r="107">
      <c r="A107" s="5" t="s">
        <v>56</v>
      </c>
      <c r="B107" s="24">
        <v>-800.0</v>
      </c>
      <c r="C107" s="13"/>
      <c r="D107" s="11">
        <v>45538.853091550925</v>
      </c>
    </row>
    <row r="108">
      <c r="A108" s="5"/>
      <c r="B108" s="24"/>
      <c r="C108" s="13"/>
      <c r="D108" s="11"/>
    </row>
    <row r="109">
      <c r="A109" s="12"/>
      <c r="B109" s="13"/>
      <c r="C109" s="13"/>
      <c r="D109" s="11"/>
    </row>
    <row r="110">
      <c r="A110" s="12"/>
      <c r="B110" s="13"/>
      <c r="C110" s="13"/>
      <c r="D110" s="11"/>
    </row>
    <row r="111">
      <c r="A111" s="12"/>
      <c r="B111" s="13"/>
      <c r="C111" s="13"/>
      <c r="D111" s="11"/>
    </row>
    <row r="112">
      <c r="A112" s="12"/>
      <c r="B112" s="13"/>
      <c r="C112" s="13"/>
      <c r="D112" s="11"/>
    </row>
    <row r="113">
      <c r="A113" s="12"/>
      <c r="B113" s="13"/>
      <c r="C113" s="13"/>
      <c r="D113" s="11"/>
    </row>
    <row r="114">
      <c r="A114" s="12"/>
      <c r="B114" s="13"/>
      <c r="C114" s="13"/>
      <c r="D114" s="11"/>
    </row>
    <row r="115">
      <c r="A115" s="12"/>
      <c r="B115" s="13"/>
      <c r="C115" s="13"/>
      <c r="D115" s="11"/>
    </row>
    <row r="116">
      <c r="A116" s="12"/>
      <c r="B116" s="13"/>
      <c r="C116" s="13"/>
      <c r="D116" s="11"/>
    </row>
    <row r="117">
      <c r="A117" s="12"/>
      <c r="B117" s="13"/>
      <c r="C117" s="13"/>
      <c r="D117" s="11"/>
    </row>
    <row r="118">
      <c r="A118" s="12"/>
      <c r="B118" s="13"/>
      <c r="C118" s="13"/>
      <c r="D118" s="11"/>
    </row>
    <row r="119">
      <c r="A119" s="12"/>
      <c r="B119" s="13"/>
      <c r="C119" s="13"/>
      <c r="D119" s="11"/>
    </row>
    <row r="120">
      <c r="A120" s="12"/>
      <c r="B120" s="13"/>
      <c r="C120" s="13"/>
      <c r="D120" s="11"/>
    </row>
    <row r="121">
      <c r="A121" s="12"/>
      <c r="B121" s="13"/>
      <c r="C121" s="13"/>
      <c r="D121" s="11"/>
    </row>
    <row r="122">
      <c r="A122" s="12"/>
      <c r="B122" s="13"/>
      <c r="C122" s="13"/>
      <c r="D122" s="11"/>
    </row>
    <row r="123">
      <c r="A123" s="12"/>
      <c r="B123" s="13"/>
      <c r="C123" s="13"/>
      <c r="D123" s="11"/>
    </row>
    <row r="124">
      <c r="A124" s="12"/>
      <c r="B124" s="13"/>
      <c r="C124" s="13"/>
      <c r="D124" s="11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8">
        <sortState ref="A2:D108">
          <sortCondition ref="D2:D108"/>
          <sortCondition ref="B2:B108"/>
        </sortState>
      </autoFilter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124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14687.03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70.0</v>
      </c>
      <c r="C3" s="24" t="s">
        <v>879</v>
      </c>
      <c r="D3" s="11">
        <v>45474.34135614583</v>
      </c>
      <c r="E3" s="1" t="s">
        <v>34</v>
      </c>
      <c r="F3" s="8">
        <v>30750.0</v>
      </c>
      <c r="H3" s="2">
        <f>Zbiorczy!D49</f>
        <v>157232</v>
      </c>
      <c r="J3" s="3">
        <f t="shared" ref="J3:J7" si="1">SUMIF($A$3:A$98, K3, B$3:B$98)</f>
        <v>2913.03</v>
      </c>
      <c r="K3" s="1" t="s">
        <v>35</v>
      </c>
      <c r="M3" s="3">
        <f t="shared" ref="M3:M8" si="2">SUMIF($A$3:A$98, N3, B$3:B$98)</f>
        <v>1892</v>
      </c>
      <c r="N3" s="1" t="s">
        <v>36</v>
      </c>
    </row>
    <row r="4">
      <c r="A4" s="5" t="s">
        <v>42</v>
      </c>
      <c r="B4" s="27">
        <v>192.0</v>
      </c>
      <c r="C4" s="24"/>
      <c r="D4" s="11">
        <v>45474.342725497685</v>
      </c>
      <c r="E4" s="1" t="s">
        <v>880</v>
      </c>
      <c r="F4" s="8">
        <v>67.0</v>
      </c>
      <c r="J4" s="3">
        <f t="shared" si="1"/>
        <v>3641</v>
      </c>
      <c r="K4" s="1" t="s">
        <v>40</v>
      </c>
      <c r="M4" s="3">
        <f t="shared" si="2"/>
        <v>43</v>
      </c>
      <c r="N4" s="1" t="s">
        <v>41</v>
      </c>
    </row>
    <row r="5">
      <c r="A5" s="5" t="s">
        <v>50</v>
      </c>
      <c r="B5" s="27">
        <v>1382.0</v>
      </c>
      <c r="C5" s="24"/>
      <c r="D5" s="11">
        <v>45476.29104596065</v>
      </c>
      <c r="E5" s="1" t="s">
        <v>45</v>
      </c>
      <c r="F5" s="1">
        <v>150.0</v>
      </c>
      <c r="J5" s="3">
        <f t="shared" si="1"/>
        <v>5365</v>
      </c>
      <c r="K5" s="1" t="s">
        <v>46</v>
      </c>
      <c r="M5" s="3">
        <f t="shared" si="2"/>
        <v>2674</v>
      </c>
      <c r="N5" s="1" t="s">
        <v>47</v>
      </c>
    </row>
    <row r="6">
      <c r="A6" s="5" t="s">
        <v>50</v>
      </c>
      <c r="B6" s="27">
        <v>350.0</v>
      </c>
      <c r="C6" s="24"/>
      <c r="D6" s="11">
        <v>45476.291139270834</v>
      </c>
      <c r="J6" s="3">
        <f t="shared" si="1"/>
        <v>2768</v>
      </c>
      <c r="K6" s="1" t="s">
        <v>50</v>
      </c>
      <c r="M6" s="3">
        <f t="shared" si="2"/>
        <v>829</v>
      </c>
      <c r="N6" s="1" t="s">
        <v>51</v>
      </c>
    </row>
    <row r="7">
      <c r="A7" s="5" t="s">
        <v>50</v>
      </c>
      <c r="B7" s="27">
        <v>340.0</v>
      </c>
      <c r="C7" s="28" t="s">
        <v>817</v>
      </c>
      <c r="D7" s="11">
        <v>45476.38091902778</v>
      </c>
      <c r="J7" s="3">
        <f t="shared" si="1"/>
        <v>0</v>
      </c>
      <c r="K7" s="1" t="s">
        <v>55</v>
      </c>
      <c r="M7" s="3">
        <f t="shared" si="2"/>
        <v>6538</v>
      </c>
      <c r="N7" s="1" t="s">
        <v>56</v>
      </c>
    </row>
    <row r="8">
      <c r="A8" s="5" t="s">
        <v>56</v>
      </c>
      <c r="B8" s="27">
        <v>210.0</v>
      </c>
      <c r="C8" s="5" t="s">
        <v>881</v>
      </c>
      <c r="D8" s="11">
        <v>45476.38101861111</v>
      </c>
      <c r="M8" s="3">
        <f t="shared" si="2"/>
        <v>2674</v>
      </c>
      <c r="N8" s="1" t="s">
        <v>47</v>
      </c>
    </row>
    <row r="9">
      <c r="A9" s="5" t="s">
        <v>47</v>
      </c>
      <c r="B9" s="27">
        <v>2333.0</v>
      </c>
      <c r="C9" s="24"/>
      <c r="D9" s="11">
        <v>45477.31762444445</v>
      </c>
    </row>
    <row r="10">
      <c r="A10" s="5" t="s">
        <v>58</v>
      </c>
      <c r="B10" s="27">
        <v>83.0</v>
      </c>
      <c r="C10" s="24" t="s">
        <v>783</v>
      </c>
      <c r="D10" s="11">
        <v>45477.318769375</v>
      </c>
    </row>
    <row r="11">
      <c r="A11" s="5" t="s">
        <v>58</v>
      </c>
      <c r="B11" s="27">
        <v>233.0</v>
      </c>
      <c r="C11" s="24" t="s">
        <v>782</v>
      </c>
      <c r="D11" s="11">
        <v>45477.31927417824</v>
      </c>
    </row>
    <row r="12">
      <c r="A12" s="5" t="s">
        <v>36</v>
      </c>
      <c r="B12" s="27">
        <v>1000.0</v>
      </c>
      <c r="C12" s="24"/>
      <c r="D12" s="11">
        <v>45477.3196006713</v>
      </c>
    </row>
    <row r="13">
      <c r="A13" s="5" t="s">
        <v>56</v>
      </c>
      <c r="B13" s="24">
        <v>200.0</v>
      </c>
      <c r="C13" s="24" t="s">
        <v>882</v>
      </c>
      <c r="D13" s="11">
        <v>45477.31987652778</v>
      </c>
    </row>
    <row r="14">
      <c r="A14" s="5" t="s">
        <v>50</v>
      </c>
      <c r="B14" s="27">
        <v>100.0</v>
      </c>
      <c r="C14" s="24"/>
      <c r="D14" s="11">
        <v>45484.52628130787</v>
      </c>
    </row>
    <row r="15">
      <c r="A15" s="5" t="s">
        <v>56</v>
      </c>
      <c r="B15" s="27">
        <v>500.0</v>
      </c>
      <c r="C15" s="24" t="s">
        <v>883</v>
      </c>
      <c r="D15" s="11">
        <v>45484.526355381946</v>
      </c>
    </row>
    <row r="16">
      <c r="A16" s="5" t="s">
        <v>47</v>
      </c>
      <c r="B16" s="27">
        <v>160.0</v>
      </c>
      <c r="C16" s="24"/>
      <c r="D16" s="11">
        <v>45485.331703159725</v>
      </c>
    </row>
    <row r="17">
      <c r="A17" s="5" t="s">
        <v>56</v>
      </c>
      <c r="B17" s="27">
        <v>330.0</v>
      </c>
      <c r="C17" s="24" t="s">
        <v>884</v>
      </c>
      <c r="D17" s="11">
        <v>45487.71684979167</v>
      </c>
    </row>
    <row r="18">
      <c r="A18" s="5" t="s">
        <v>56</v>
      </c>
      <c r="B18" s="27">
        <v>167.0</v>
      </c>
      <c r="C18" s="24" t="s">
        <v>885</v>
      </c>
      <c r="D18" s="11">
        <v>45487.71701496528</v>
      </c>
    </row>
    <row r="19">
      <c r="A19" s="5" t="s">
        <v>36</v>
      </c>
      <c r="B19" s="27">
        <v>17.0</v>
      </c>
      <c r="C19" s="24" t="s">
        <v>886</v>
      </c>
      <c r="D19" s="11">
        <v>45487.71737115741</v>
      </c>
    </row>
    <row r="20">
      <c r="A20" s="5" t="s">
        <v>56</v>
      </c>
      <c r="B20" s="29">
        <v>89.0</v>
      </c>
      <c r="C20" s="24" t="s">
        <v>887</v>
      </c>
      <c r="D20" s="11">
        <v>45487.71768008102</v>
      </c>
    </row>
    <row r="21">
      <c r="A21" s="5" t="s">
        <v>56</v>
      </c>
      <c r="B21" s="27">
        <v>600.0</v>
      </c>
      <c r="C21" s="24" t="s">
        <v>791</v>
      </c>
      <c r="D21" s="11">
        <v>45487.7178430787</v>
      </c>
      <c r="E21" s="11"/>
      <c r="F21" s="11"/>
      <c r="G21" s="11"/>
    </row>
    <row r="22">
      <c r="A22" s="5" t="s">
        <v>42</v>
      </c>
      <c r="B22" s="27">
        <v>93.0</v>
      </c>
      <c r="C22" s="24" t="s">
        <v>888</v>
      </c>
      <c r="D22" s="11">
        <v>45487.71796430556</v>
      </c>
    </row>
    <row r="23">
      <c r="A23" s="5" t="s">
        <v>56</v>
      </c>
      <c r="B23" s="27">
        <v>8.0</v>
      </c>
      <c r="C23" s="24" t="s">
        <v>861</v>
      </c>
      <c r="D23" s="11">
        <v>45487.71805416667</v>
      </c>
    </row>
    <row r="24">
      <c r="A24" s="5" t="s">
        <v>50</v>
      </c>
      <c r="B24" s="27">
        <v>136.0</v>
      </c>
      <c r="C24" s="24" t="s">
        <v>817</v>
      </c>
      <c r="D24" s="11">
        <v>45487.71825942129</v>
      </c>
    </row>
    <row r="25">
      <c r="A25" s="5" t="s">
        <v>51</v>
      </c>
      <c r="B25" s="27">
        <v>237.0</v>
      </c>
      <c r="C25" s="24"/>
      <c r="D25" s="11">
        <v>45487.71871221065</v>
      </c>
    </row>
    <row r="26">
      <c r="A26" s="5" t="s">
        <v>51</v>
      </c>
      <c r="B26" s="27">
        <v>120.0</v>
      </c>
      <c r="C26" s="24"/>
      <c r="D26" s="11">
        <v>45487.71882415509</v>
      </c>
    </row>
    <row r="27">
      <c r="A27" s="5" t="s">
        <v>36</v>
      </c>
      <c r="B27" s="27">
        <v>76.0</v>
      </c>
      <c r="C27" s="24"/>
      <c r="D27" s="11">
        <v>45488.42540633102</v>
      </c>
    </row>
    <row r="28">
      <c r="A28" s="5" t="s">
        <v>46</v>
      </c>
      <c r="B28" s="30">
        <v>5365.0</v>
      </c>
      <c r="C28" s="24"/>
      <c r="D28" s="11">
        <v>45489.31813291667</v>
      </c>
    </row>
    <row r="29">
      <c r="A29" s="5" t="s">
        <v>40</v>
      </c>
      <c r="B29" s="30">
        <v>3641.0</v>
      </c>
      <c r="C29" s="24"/>
      <c r="D29" s="11">
        <v>45489.31825844907</v>
      </c>
    </row>
    <row r="30">
      <c r="A30" s="5" t="s">
        <v>201</v>
      </c>
      <c r="B30" s="30">
        <v>2913.03</v>
      </c>
      <c r="C30" s="24"/>
      <c r="D30" s="11">
        <v>45489.318586064815</v>
      </c>
    </row>
    <row r="31">
      <c r="A31" s="5" t="s">
        <v>73</v>
      </c>
      <c r="B31" s="27">
        <v>100.0</v>
      </c>
      <c r="C31" s="24"/>
      <c r="D31" s="11">
        <v>45491.32994412037</v>
      </c>
    </row>
    <row r="32">
      <c r="A32" s="5" t="s">
        <v>56</v>
      </c>
      <c r="B32" s="27">
        <v>100.0</v>
      </c>
      <c r="C32" s="24" t="s">
        <v>889</v>
      </c>
      <c r="D32" s="11">
        <v>45491.33044020833</v>
      </c>
    </row>
    <row r="33">
      <c r="A33" s="5" t="s">
        <v>56</v>
      </c>
      <c r="B33" s="27">
        <v>2000.0</v>
      </c>
      <c r="C33" s="24" t="s">
        <v>890</v>
      </c>
      <c r="D33" s="11">
        <v>45491.33074766204</v>
      </c>
    </row>
    <row r="34">
      <c r="A34" s="5" t="s">
        <v>56</v>
      </c>
      <c r="B34" s="31">
        <v>200.0</v>
      </c>
      <c r="C34" s="24" t="s">
        <v>891</v>
      </c>
      <c r="D34" s="11">
        <v>45500.353302488424</v>
      </c>
    </row>
    <row r="35">
      <c r="A35" s="5" t="s">
        <v>56</v>
      </c>
      <c r="B35" s="31">
        <v>175.0</v>
      </c>
      <c r="C35" s="24" t="s">
        <v>811</v>
      </c>
      <c r="D35" s="11">
        <v>45501.84700583333</v>
      </c>
    </row>
    <row r="36">
      <c r="A36" s="5" t="s">
        <v>51</v>
      </c>
      <c r="B36" s="27">
        <v>205.0</v>
      </c>
      <c r="C36" s="24"/>
      <c r="D36" s="11">
        <v>45501.84740115741</v>
      </c>
    </row>
    <row r="37">
      <c r="A37" s="5" t="s">
        <v>51</v>
      </c>
      <c r="B37" s="34">
        <v>267.0</v>
      </c>
      <c r="C37" s="24"/>
      <c r="D37" s="11">
        <v>45501.84756372686</v>
      </c>
    </row>
    <row r="38">
      <c r="A38" s="5" t="s">
        <v>47</v>
      </c>
      <c r="B38" s="27">
        <v>160.0</v>
      </c>
      <c r="C38" s="24" t="s">
        <v>892</v>
      </c>
      <c r="D38" s="11">
        <v>45501.84795898148</v>
      </c>
    </row>
    <row r="39">
      <c r="A39" s="5" t="s">
        <v>41</v>
      </c>
      <c r="B39" s="32">
        <v>30.0</v>
      </c>
      <c r="C39" s="24"/>
      <c r="D39" s="11">
        <v>45501.84850381945</v>
      </c>
    </row>
    <row r="40">
      <c r="A40" s="5" t="s">
        <v>36</v>
      </c>
      <c r="B40" s="27">
        <v>20.0</v>
      </c>
      <c r="C40" s="24"/>
      <c r="D40" s="11">
        <v>45501.8486253125</v>
      </c>
    </row>
    <row r="41">
      <c r="A41" s="5" t="s">
        <v>36</v>
      </c>
      <c r="B41" s="27">
        <v>80.0</v>
      </c>
      <c r="C41" s="24"/>
      <c r="D41" s="11">
        <v>45501.84868141204</v>
      </c>
    </row>
    <row r="42">
      <c r="A42" s="5" t="s">
        <v>36</v>
      </c>
      <c r="B42" s="27">
        <v>22.0</v>
      </c>
      <c r="C42" s="24"/>
      <c r="D42" s="11">
        <v>45501.84876954861</v>
      </c>
    </row>
    <row r="43">
      <c r="A43" s="5" t="s">
        <v>41</v>
      </c>
      <c r="B43" s="27">
        <v>5.0</v>
      </c>
      <c r="C43" s="24"/>
      <c r="D43" s="11">
        <v>45501.84890253472</v>
      </c>
    </row>
    <row r="44">
      <c r="A44" s="5" t="s">
        <v>36</v>
      </c>
      <c r="B44" s="27">
        <v>22.0</v>
      </c>
      <c r="C44" s="24"/>
      <c r="D44" s="11">
        <v>45501.848956041664</v>
      </c>
    </row>
    <row r="45">
      <c r="A45" s="5" t="s">
        <v>56</v>
      </c>
      <c r="B45" s="27">
        <v>52.0</v>
      </c>
      <c r="C45" s="24" t="s">
        <v>893</v>
      </c>
      <c r="D45" s="11">
        <v>45501.84919003472</v>
      </c>
    </row>
    <row r="46">
      <c r="A46" s="5" t="s">
        <v>56</v>
      </c>
      <c r="B46" s="27">
        <v>85.0</v>
      </c>
      <c r="C46" s="24"/>
      <c r="D46" s="11">
        <v>45501.850759768524</v>
      </c>
    </row>
    <row r="47">
      <c r="A47" s="5" t="s">
        <v>41</v>
      </c>
      <c r="B47" s="27">
        <v>5.0</v>
      </c>
      <c r="C47" s="24"/>
      <c r="D47" s="11">
        <v>45501.85082195602</v>
      </c>
    </row>
    <row r="48">
      <c r="A48" s="5" t="s">
        <v>42</v>
      </c>
      <c r="B48" s="27">
        <v>134.0</v>
      </c>
      <c r="C48" s="24"/>
      <c r="D48" s="11">
        <v>45501.85095337963</v>
      </c>
    </row>
    <row r="49">
      <c r="A49" s="5" t="s">
        <v>80</v>
      </c>
      <c r="B49" s="27">
        <v>30.0</v>
      </c>
      <c r="C49" s="24"/>
      <c r="D49" s="11">
        <v>45501.85104716435</v>
      </c>
    </row>
    <row r="50">
      <c r="A50" s="5" t="s">
        <v>41</v>
      </c>
      <c r="B50" s="27">
        <v>3.0</v>
      </c>
      <c r="C50" s="24"/>
      <c r="D50" s="11">
        <v>45501.85117087963</v>
      </c>
    </row>
    <row r="51">
      <c r="A51" s="5" t="s">
        <v>772</v>
      </c>
      <c r="B51" s="27">
        <v>18.0</v>
      </c>
      <c r="C51" s="24"/>
      <c r="D51" s="11">
        <v>45501.85132152778</v>
      </c>
    </row>
    <row r="52">
      <c r="A52" s="5" t="s">
        <v>58</v>
      </c>
      <c r="B52" s="27">
        <v>15.0</v>
      </c>
      <c r="C52" s="24" t="s">
        <v>803</v>
      </c>
      <c r="D52" s="11">
        <v>45501.85137335648</v>
      </c>
    </row>
    <row r="53">
      <c r="A53" s="5" t="s">
        <v>148</v>
      </c>
      <c r="B53" s="27">
        <v>14.0</v>
      </c>
      <c r="C53" s="24"/>
      <c r="D53" s="11">
        <v>45501.851471030095</v>
      </c>
    </row>
    <row r="54">
      <c r="A54" s="5" t="s">
        <v>56</v>
      </c>
      <c r="B54" s="27">
        <v>400.0</v>
      </c>
      <c r="C54" s="24" t="s">
        <v>801</v>
      </c>
      <c r="D54" s="11">
        <v>45501.85159762732</v>
      </c>
    </row>
    <row r="55">
      <c r="A55" s="5" t="s">
        <v>36</v>
      </c>
      <c r="B55" s="27">
        <v>76.0</v>
      </c>
      <c r="C55" s="24"/>
      <c r="D55" s="11">
        <v>45501.85174436343</v>
      </c>
    </row>
    <row r="56">
      <c r="A56" s="5" t="s">
        <v>56</v>
      </c>
      <c r="B56" s="27">
        <v>10.0</v>
      </c>
      <c r="C56" s="24" t="s">
        <v>894</v>
      </c>
      <c r="D56" s="11">
        <v>45501.85195702546</v>
      </c>
    </row>
    <row r="57">
      <c r="A57" s="5" t="s">
        <v>36</v>
      </c>
      <c r="B57" s="27">
        <v>35.0</v>
      </c>
      <c r="C57" s="24"/>
      <c r="D57" s="11">
        <v>45501.852397002316</v>
      </c>
    </row>
    <row r="58">
      <c r="A58" s="5" t="s">
        <v>307</v>
      </c>
      <c r="B58" s="27">
        <v>70.0</v>
      </c>
      <c r="C58" s="24" t="s">
        <v>895</v>
      </c>
      <c r="D58" s="11">
        <v>45501.852569317125</v>
      </c>
    </row>
    <row r="59">
      <c r="A59" s="5" t="s">
        <v>56</v>
      </c>
      <c r="B59" s="27">
        <v>55.0</v>
      </c>
      <c r="C59" s="24" t="s">
        <v>896</v>
      </c>
      <c r="D59" s="11">
        <v>45501.85281409722</v>
      </c>
    </row>
    <row r="60">
      <c r="A60" s="5" t="s">
        <v>47</v>
      </c>
      <c r="B60" s="27">
        <v>5.0</v>
      </c>
      <c r="C60" s="24" t="s">
        <v>780</v>
      </c>
      <c r="D60" s="11">
        <v>45501.853085740746</v>
      </c>
    </row>
    <row r="61">
      <c r="A61" s="5" t="s">
        <v>36</v>
      </c>
      <c r="B61" s="27">
        <v>20.0</v>
      </c>
      <c r="C61" s="24" t="s">
        <v>897</v>
      </c>
      <c r="D61" s="11">
        <v>45501.85333150463</v>
      </c>
    </row>
    <row r="62">
      <c r="A62" s="5" t="s">
        <v>36</v>
      </c>
      <c r="B62" s="24">
        <v>17.0</v>
      </c>
      <c r="C62" s="24" t="s">
        <v>898</v>
      </c>
      <c r="D62" s="11">
        <v>45501.85344553241</v>
      </c>
    </row>
    <row r="63">
      <c r="A63" s="5" t="s">
        <v>80</v>
      </c>
      <c r="B63" s="24">
        <v>9.0</v>
      </c>
      <c r="C63" s="24"/>
      <c r="D63" s="11">
        <v>45501.853595</v>
      </c>
    </row>
    <row r="64">
      <c r="A64" s="5" t="s">
        <v>58</v>
      </c>
      <c r="B64" s="24">
        <v>17.0</v>
      </c>
      <c r="C64" s="24" t="s">
        <v>899</v>
      </c>
      <c r="D64" s="11">
        <v>45501.85370753473</v>
      </c>
    </row>
    <row r="65">
      <c r="A65" s="5" t="s">
        <v>56</v>
      </c>
      <c r="B65" s="24">
        <v>8.0</v>
      </c>
      <c r="C65" s="24" t="s">
        <v>861</v>
      </c>
      <c r="D65" s="11">
        <v>45501.85391488426</v>
      </c>
    </row>
    <row r="66">
      <c r="A66" s="5" t="s">
        <v>56</v>
      </c>
      <c r="B66" s="24">
        <v>200.0</v>
      </c>
      <c r="C66" s="24" t="s">
        <v>900</v>
      </c>
      <c r="D66" s="11">
        <v>45501.8551050463</v>
      </c>
    </row>
    <row r="67">
      <c r="A67" s="5" t="s">
        <v>56</v>
      </c>
      <c r="B67" s="24">
        <v>130.0</v>
      </c>
      <c r="C67" s="24" t="s">
        <v>901</v>
      </c>
      <c r="D67" s="11">
        <v>45501.855192731484</v>
      </c>
    </row>
    <row r="68">
      <c r="A68" s="5" t="s">
        <v>772</v>
      </c>
      <c r="B68" s="24">
        <v>30.0</v>
      </c>
      <c r="C68" s="24"/>
      <c r="D68" s="11">
        <v>45501.855569444444</v>
      </c>
    </row>
    <row r="69">
      <c r="A69" s="5" t="s">
        <v>56</v>
      </c>
      <c r="B69" s="24">
        <v>40.0</v>
      </c>
      <c r="C69" s="24" t="s">
        <v>902</v>
      </c>
      <c r="D69" s="11">
        <v>45501.85565711805</v>
      </c>
    </row>
    <row r="70">
      <c r="A70" s="5" t="s">
        <v>56</v>
      </c>
      <c r="B70" s="24">
        <v>200.0</v>
      </c>
      <c r="C70" s="24" t="s">
        <v>903</v>
      </c>
      <c r="D70" s="11">
        <v>45501.85578989583</v>
      </c>
    </row>
    <row r="71">
      <c r="A71" s="5" t="s">
        <v>50</v>
      </c>
      <c r="B71" s="24">
        <v>460.0</v>
      </c>
      <c r="C71" s="24" t="s">
        <v>904</v>
      </c>
      <c r="D71" s="11">
        <v>45501.857219722224</v>
      </c>
    </row>
    <row r="72">
      <c r="A72" s="5" t="s">
        <v>47</v>
      </c>
      <c r="B72" s="24">
        <v>16.0</v>
      </c>
      <c r="C72" s="24" t="s">
        <v>875</v>
      </c>
      <c r="D72" s="11">
        <v>45501.85857702546</v>
      </c>
    </row>
    <row r="73">
      <c r="A73" s="5" t="s">
        <v>36</v>
      </c>
      <c r="B73" s="24">
        <v>200.0</v>
      </c>
      <c r="C73" s="24"/>
      <c r="D73" s="11">
        <v>45501.858986203704</v>
      </c>
    </row>
    <row r="74">
      <c r="A74" s="5" t="s">
        <v>58</v>
      </c>
      <c r="B74" s="24">
        <v>20.0</v>
      </c>
      <c r="C74" s="24" t="s">
        <v>905</v>
      </c>
      <c r="D74" s="11">
        <v>45501.85997055555</v>
      </c>
    </row>
    <row r="75">
      <c r="A75" s="5" t="s">
        <v>56</v>
      </c>
      <c r="B75" s="24">
        <v>30.0</v>
      </c>
      <c r="C75" s="24" t="s">
        <v>906</v>
      </c>
      <c r="D75" s="11">
        <v>45501.862814374996</v>
      </c>
    </row>
    <row r="76">
      <c r="A76" s="5" t="s">
        <v>56</v>
      </c>
      <c r="B76" s="24">
        <v>100.0</v>
      </c>
      <c r="C76" s="24" t="s">
        <v>907</v>
      </c>
      <c r="D76" s="11">
        <v>45501.86288892361</v>
      </c>
    </row>
    <row r="77">
      <c r="A77" s="5" t="s">
        <v>36</v>
      </c>
      <c r="B77" s="24">
        <v>165.0</v>
      </c>
      <c r="C77" s="24"/>
      <c r="D77" s="11">
        <v>45501.864225868056</v>
      </c>
    </row>
    <row r="78">
      <c r="A78" s="5" t="s">
        <v>36</v>
      </c>
      <c r="B78" s="24">
        <v>22.0</v>
      </c>
      <c r="C78" s="24"/>
      <c r="D78" s="11">
        <v>45501.86429943287</v>
      </c>
    </row>
    <row r="79">
      <c r="A79" s="5" t="s">
        <v>56</v>
      </c>
      <c r="B79" s="24">
        <v>216.0</v>
      </c>
      <c r="C79" s="24" t="s">
        <v>908</v>
      </c>
      <c r="D79" s="11">
        <v>45501.86599319444</v>
      </c>
    </row>
    <row r="80">
      <c r="A80" s="5" t="s">
        <v>56</v>
      </c>
      <c r="B80" s="24">
        <v>433.0</v>
      </c>
      <c r="C80" s="24"/>
      <c r="D80" s="11">
        <v>45501.86643592593</v>
      </c>
    </row>
    <row r="81">
      <c r="A81" s="5" t="s">
        <v>36</v>
      </c>
      <c r="B81" s="24">
        <v>50.0</v>
      </c>
      <c r="C81" s="24"/>
      <c r="D81" s="11">
        <v>45502.307107546294</v>
      </c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14834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1000.0</v>
      </c>
      <c r="C3" s="24"/>
      <c r="D3" s="11">
        <v>45442.80067502314</v>
      </c>
      <c r="E3" s="1" t="s">
        <v>34</v>
      </c>
      <c r="F3" s="8">
        <v>35307.0</v>
      </c>
      <c r="H3" s="2">
        <f>Zbiorczy!D48</f>
        <v>144744</v>
      </c>
      <c r="J3" s="3">
        <f t="shared" ref="J3:J7" si="1">SUMIF($A$3:A$98, K3, B$3:B$98)</f>
        <v>2914</v>
      </c>
      <c r="K3" s="1" t="s">
        <v>35</v>
      </c>
      <c r="M3" s="3">
        <f t="shared" ref="M3:M8" si="2">SUMIF($A$3:A$98, N3, B$3:B$98)</f>
        <v>1787</v>
      </c>
      <c r="N3" s="1" t="s">
        <v>36</v>
      </c>
    </row>
    <row r="4">
      <c r="A4" s="5" t="s">
        <v>42</v>
      </c>
      <c r="B4" s="27">
        <v>163.0</v>
      </c>
      <c r="C4" s="24"/>
      <c r="D4" s="11">
        <v>45443.35520395833</v>
      </c>
      <c r="F4" s="8"/>
      <c r="J4" s="3">
        <f t="shared" si="1"/>
        <v>3880</v>
      </c>
      <c r="K4" s="1" t="s">
        <v>40</v>
      </c>
      <c r="M4" s="3">
        <f t="shared" si="2"/>
        <v>50</v>
      </c>
      <c r="N4" s="1" t="s">
        <v>41</v>
      </c>
    </row>
    <row r="5">
      <c r="A5" s="5" t="s">
        <v>56</v>
      </c>
      <c r="B5" s="27">
        <v>680.0</v>
      </c>
      <c r="C5" s="24" t="s">
        <v>791</v>
      </c>
      <c r="D5" s="11">
        <v>45443.3573162963</v>
      </c>
      <c r="J5" s="3">
        <f t="shared" si="1"/>
        <v>6208</v>
      </c>
      <c r="K5" s="1" t="s">
        <v>46</v>
      </c>
      <c r="M5" s="3">
        <f t="shared" si="2"/>
        <v>2347</v>
      </c>
      <c r="N5" s="1" t="s">
        <v>47</v>
      </c>
    </row>
    <row r="6">
      <c r="A6" s="5" t="s">
        <v>56</v>
      </c>
      <c r="B6" s="27">
        <v>58.0</v>
      </c>
      <c r="C6" s="24" t="s">
        <v>828</v>
      </c>
      <c r="D6" s="11">
        <v>45443.53869311343</v>
      </c>
      <c r="J6" s="3">
        <f t="shared" si="1"/>
        <v>1832</v>
      </c>
      <c r="K6" s="1" t="s">
        <v>50</v>
      </c>
      <c r="M6" s="3">
        <f t="shared" si="2"/>
        <v>240</v>
      </c>
      <c r="N6" s="1" t="s">
        <v>51</v>
      </c>
    </row>
    <row r="7">
      <c r="A7" s="5" t="s">
        <v>56</v>
      </c>
      <c r="B7" s="27">
        <v>80.0</v>
      </c>
      <c r="C7" s="28" t="s">
        <v>909</v>
      </c>
      <c r="D7" s="11">
        <v>45445.5756577662</v>
      </c>
      <c r="J7" s="3">
        <f t="shared" si="1"/>
        <v>0</v>
      </c>
      <c r="K7" s="1" t="s">
        <v>55</v>
      </c>
      <c r="M7" s="3">
        <f t="shared" si="2"/>
        <v>2488</v>
      </c>
      <c r="N7" s="1" t="s">
        <v>56</v>
      </c>
    </row>
    <row r="8">
      <c r="A8" s="5" t="s">
        <v>56</v>
      </c>
      <c r="B8" s="27">
        <v>100.0</v>
      </c>
      <c r="C8" s="5" t="s">
        <v>910</v>
      </c>
      <c r="D8" s="11">
        <v>45446.823668240744</v>
      </c>
      <c r="M8" s="3">
        <f t="shared" si="2"/>
        <v>2347</v>
      </c>
      <c r="N8" s="1" t="s">
        <v>47</v>
      </c>
    </row>
    <row r="9">
      <c r="A9" s="5" t="s">
        <v>58</v>
      </c>
      <c r="B9" s="27">
        <v>236.0</v>
      </c>
      <c r="C9" s="24" t="s">
        <v>782</v>
      </c>
      <c r="D9" s="11">
        <v>45447.882026458334</v>
      </c>
    </row>
    <row r="10">
      <c r="A10" s="5" t="s">
        <v>58</v>
      </c>
      <c r="B10" s="27">
        <v>83.0</v>
      </c>
      <c r="C10" s="24" t="s">
        <v>783</v>
      </c>
      <c r="D10" s="11">
        <v>45447.8828690625</v>
      </c>
    </row>
    <row r="11">
      <c r="A11" s="5" t="s">
        <v>50</v>
      </c>
      <c r="B11" s="27">
        <v>1382.0</v>
      </c>
      <c r="C11" s="24"/>
      <c r="D11" s="11">
        <v>45447.89090241898</v>
      </c>
    </row>
    <row r="12">
      <c r="A12" s="5" t="s">
        <v>50</v>
      </c>
      <c r="B12" s="27">
        <v>350.0</v>
      </c>
      <c r="C12" s="24"/>
      <c r="D12" s="11">
        <v>45447.8909728125</v>
      </c>
    </row>
    <row r="13">
      <c r="A13" s="5" t="s">
        <v>41</v>
      </c>
      <c r="B13" s="24">
        <v>15.0</v>
      </c>
      <c r="C13" s="24"/>
      <c r="D13" s="11">
        <v>45449.64005048611</v>
      </c>
    </row>
    <row r="14">
      <c r="A14" s="5" t="s">
        <v>47</v>
      </c>
      <c r="B14" s="27">
        <v>2335.0</v>
      </c>
      <c r="C14" s="24"/>
      <c r="D14" s="11">
        <v>45449.80377409722</v>
      </c>
    </row>
    <row r="15">
      <c r="A15" s="5" t="s">
        <v>41</v>
      </c>
      <c r="B15" s="27">
        <v>20.0</v>
      </c>
      <c r="C15" s="24"/>
      <c r="D15" s="11">
        <v>45451.329413368054</v>
      </c>
    </row>
    <row r="16">
      <c r="A16" s="5" t="s">
        <v>36</v>
      </c>
      <c r="B16" s="27">
        <v>33.0</v>
      </c>
      <c r="C16" s="24"/>
      <c r="D16" s="11">
        <v>45451.52687596065</v>
      </c>
    </row>
    <row r="17">
      <c r="A17" s="5" t="s">
        <v>50</v>
      </c>
      <c r="B17" s="27">
        <v>100.0</v>
      </c>
      <c r="C17" s="24"/>
      <c r="D17" s="11">
        <v>45452.85890665509</v>
      </c>
    </row>
    <row r="18">
      <c r="A18" s="5" t="s">
        <v>36</v>
      </c>
      <c r="B18" s="27">
        <v>60.0</v>
      </c>
      <c r="C18" s="24"/>
      <c r="D18" s="11">
        <v>45453.32538491898</v>
      </c>
    </row>
    <row r="19">
      <c r="A19" s="5" t="s">
        <v>36</v>
      </c>
      <c r="B19" s="27">
        <v>20.0</v>
      </c>
      <c r="C19" s="24"/>
      <c r="D19" s="11">
        <v>45453.580658645835</v>
      </c>
    </row>
    <row r="20">
      <c r="A20" s="5" t="s">
        <v>148</v>
      </c>
      <c r="B20" s="29">
        <v>80.0</v>
      </c>
      <c r="C20" s="24"/>
      <c r="D20" s="11">
        <v>45453.93138877315</v>
      </c>
    </row>
    <row r="21">
      <c r="A21" s="5" t="s">
        <v>56</v>
      </c>
      <c r="B21" s="27">
        <v>60.0</v>
      </c>
      <c r="C21" s="24" t="s">
        <v>911</v>
      </c>
      <c r="D21" s="11">
        <v>45454.61985459491</v>
      </c>
      <c r="E21" s="11"/>
      <c r="F21" s="11"/>
      <c r="G21" s="11"/>
    </row>
    <row r="22">
      <c r="A22" s="5" t="s">
        <v>36</v>
      </c>
      <c r="B22" s="27">
        <v>30.0</v>
      </c>
      <c r="C22" s="24"/>
      <c r="D22" s="11">
        <v>45454.88293537037</v>
      </c>
    </row>
    <row r="23">
      <c r="A23" s="5" t="s">
        <v>41</v>
      </c>
      <c r="B23" s="27">
        <v>15.0</v>
      </c>
      <c r="C23" s="24"/>
      <c r="D23" s="11">
        <v>45456.5868315625</v>
      </c>
    </row>
    <row r="24">
      <c r="A24" s="5" t="s">
        <v>56</v>
      </c>
      <c r="B24" s="27">
        <v>36.0</v>
      </c>
      <c r="C24" s="24" t="s">
        <v>912</v>
      </c>
      <c r="D24" s="11">
        <v>45456.58697521991</v>
      </c>
    </row>
    <row r="25">
      <c r="A25" s="5" t="s">
        <v>80</v>
      </c>
      <c r="B25" s="27">
        <v>20.0</v>
      </c>
      <c r="C25" s="24"/>
      <c r="D25" s="11">
        <v>45456.5872250463</v>
      </c>
    </row>
    <row r="26">
      <c r="A26" s="5" t="s">
        <v>772</v>
      </c>
      <c r="B26" s="27">
        <v>50.0</v>
      </c>
      <c r="C26" s="24"/>
      <c r="D26" s="11">
        <v>45456.735815416665</v>
      </c>
    </row>
    <row r="27">
      <c r="A27" s="5" t="s">
        <v>56</v>
      </c>
      <c r="B27" s="27">
        <v>370.0</v>
      </c>
      <c r="C27" s="24" t="s">
        <v>913</v>
      </c>
      <c r="D27" s="11">
        <v>45457.37343479166</v>
      </c>
    </row>
    <row r="28">
      <c r="A28" s="5" t="s">
        <v>56</v>
      </c>
      <c r="B28" s="34">
        <v>60.0</v>
      </c>
      <c r="C28" s="24" t="s">
        <v>914</v>
      </c>
      <c r="D28" s="11">
        <v>45458.58233828704</v>
      </c>
    </row>
    <row r="29">
      <c r="A29" s="5" t="s">
        <v>36</v>
      </c>
      <c r="B29" s="29">
        <v>40.0</v>
      </c>
      <c r="C29" s="24"/>
      <c r="D29" s="11">
        <v>45458.582467569446</v>
      </c>
    </row>
    <row r="30">
      <c r="A30" s="5" t="s">
        <v>36</v>
      </c>
      <c r="B30" s="29">
        <v>70.0</v>
      </c>
      <c r="C30" s="24"/>
      <c r="D30" s="11">
        <v>45458.592463043984</v>
      </c>
    </row>
    <row r="31">
      <c r="A31" s="5" t="s">
        <v>56</v>
      </c>
      <c r="B31" s="27">
        <v>55.0</v>
      </c>
      <c r="C31" s="24" t="s">
        <v>915</v>
      </c>
      <c r="D31" s="11">
        <v>45459.56417846065</v>
      </c>
    </row>
    <row r="32">
      <c r="A32" s="5" t="s">
        <v>40</v>
      </c>
      <c r="B32" s="27">
        <v>3868.0</v>
      </c>
      <c r="C32" s="24"/>
      <c r="D32" s="11">
        <v>45459.58084394676</v>
      </c>
    </row>
    <row r="33">
      <c r="A33" s="5" t="s">
        <v>46</v>
      </c>
      <c r="B33" s="27">
        <v>6208.0</v>
      </c>
      <c r="C33" s="24"/>
      <c r="D33" s="11">
        <v>45459.644703564816</v>
      </c>
    </row>
    <row r="34">
      <c r="A34" s="5" t="s">
        <v>35</v>
      </c>
      <c r="B34" s="31">
        <v>2914.0</v>
      </c>
      <c r="C34" s="24"/>
      <c r="D34" s="11">
        <v>45459.64645673611</v>
      </c>
    </row>
    <row r="35">
      <c r="A35" s="5" t="s">
        <v>40</v>
      </c>
      <c r="B35" s="31">
        <v>12.0</v>
      </c>
      <c r="C35" s="24"/>
      <c r="D35" s="11">
        <v>45459.64660738426</v>
      </c>
    </row>
    <row r="36">
      <c r="A36" s="5" t="s">
        <v>36</v>
      </c>
      <c r="B36" s="27">
        <v>180.0</v>
      </c>
      <c r="C36" s="24"/>
      <c r="D36" s="11">
        <v>45465.3554778588</v>
      </c>
    </row>
    <row r="37">
      <c r="A37" s="5" t="s">
        <v>56</v>
      </c>
      <c r="B37" s="34">
        <v>168.0</v>
      </c>
      <c r="C37" s="24" t="s">
        <v>880</v>
      </c>
      <c r="D37" s="11">
        <v>45465.921685023146</v>
      </c>
    </row>
    <row r="38">
      <c r="A38" s="5" t="s">
        <v>51</v>
      </c>
      <c r="B38" s="27">
        <v>140.0</v>
      </c>
      <c r="C38" s="24"/>
      <c r="D38" s="11">
        <v>45467.34300194445</v>
      </c>
    </row>
    <row r="39">
      <c r="A39" s="5" t="s">
        <v>36</v>
      </c>
      <c r="B39" s="32">
        <v>50.0</v>
      </c>
      <c r="C39" s="24"/>
      <c r="D39" s="11">
        <v>45467.3430766088</v>
      </c>
    </row>
    <row r="40">
      <c r="A40" s="5" t="s">
        <v>56</v>
      </c>
      <c r="B40" s="27">
        <v>100.0</v>
      </c>
      <c r="C40" s="24" t="s">
        <v>916</v>
      </c>
      <c r="D40" s="11">
        <v>45468.61554121527</v>
      </c>
    </row>
    <row r="41">
      <c r="A41" s="5" t="s">
        <v>56</v>
      </c>
      <c r="B41" s="27">
        <v>90.0</v>
      </c>
      <c r="C41" s="24" t="s">
        <v>917</v>
      </c>
      <c r="D41" s="11">
        <v>45468.891100821755</v>
      </c>
    </row>
    <row r="42">
      <c r="A42" s="5" t="s">
        <v>36</v>
      </c>
      <c r="B42" s="27">
        <v>95.0</v>
      </c>
      <c r="C42" s="24"/>
      <c r="D42" s="11">
        <v>45468.89163789352</v>
      </c>
    </row>
    <row r="43">
      <c r="A43" s="5" t="s">
        <v>51</v>
      </c>
      <c r="B43" s="27">
        <v>100.0</v>
      </c>
      <c r="C43" s="24"/>
      <c r="D43" s="11">
        <v>45473.42821868055</v>
      </c>
    </row>
    <row r="44">
      <c r="A44" s="5" t="s">
        <v>56</v>
      </c>
      <c r="B44" s="27">
        <v>175.0</v>
      </c>
      <c r="C44" s="24" t="s">
        <v>918</v>
      </c>
      <c r="D44" s="11">
        <v>45473.42880243056</v>
      </c>
    </row>
    <row r="45">
      <c r="A45" s="5" t="s">
        <v>58</v>
      </c>
      <c r="B45" s="27">
        <v>348.0</v>
      </c>
      <c r="C45" s="24"/>
      <c r="D45" s="11">
        <v>45473.42997611111</v>
      </c>
    </row>
    <row r="46">
      <c r="A46" s="5" t="s">
        <v>36</v>
      </c>
      <c r="B46" s="27">
        <v>68.0</v>
      </c>
      <c r="C46" s="24"/>
      <c r="D46" s="11">
        <v>45473.43038922454</v>
      </c>
    </row>
    <row r="47">
      <c r="A47" s="5" t="s">
        <v>36</v>
      </c>
      <c r="B47" s="27">
        <v>131.0</v>
      </c>
      <c r="C47" s="24"/>
      <c r="D47" s="11">
        <v>45473.43045706018</v>
      </c>
    </row>
    <row r="48">
      <c r="A48" s="5" t="s">
        <v>148</v>
      </c>
      <c r="B48" s="27">
        <v>3.0</v>
      </c>
      <c r="C48" s="24"/>
      <c r="D48" s="11">
        <v>45473.43066298611</v>
      </c>
    </row>
    <row r="49">
      <c r="A49" s="5" t="s">
        <v>47</v>
      </c>
      <c r="B49" s="27">
        <v>12.0</v>
      </c>
      <c r="C49" s="24"/>
      <c r="D49" s="11">
        <v>45473.43069709491</v>
      </c>
    </row>
    <row r="50">
      <c r="A50" s="5" t="s">
        <v>56</v>
      </c>
      <c r="B50" s="27">
        <v>200.0</v>
      </c>
      <c r="C50" s="24" t="s">
        <v>919</v>
      </c>
      <c r="D50" s="11">
        <v>45473.432147326384</v>
      </c>
    </row>
    <row r="51">
      <c r="A51" s="5" t="s">
        <v>56</v>
      </c>
      <c r="B51" s="27">
        <v>180.0</v>
      </c>
      <c r="C51" s="24" t="s">
        <v>920</v>
      </c>
      <c r="D51" s="11">
        <v>45473.43223627315</v>
      </c>
    </row>
    <row r="52">
      <c r="A52" s="5" t="s">
        <v>56</v>
      </c>
      <c r="B52" s="27">
        <v>76.0</v>
      </c>
      <c r="C52" s="24" t="s">
        <v>920</v>
      </c>
      <c r="D52" s="11">
        <v>45473.43233576389</v>
      </c>
    </row>
    <row r="53">
      <c r="A53" s="5" t="s">
        <v>307</v>
      </c>
      <c r="B53" s="27">
        <v>90.0</v>
      </c>
      <c r="C53" s="24" t="s">
        <v>813</v>
      </c>
      <c r="D53" s="11">
        <v>45473.43256490741</v>
      </c>
    </row>
    <row r="54">
      <c r="A54" s="5" t="s">
        <v>36</v>
      </c>
      <c r="B54" s="27">
        <v>10.0</v>
      </c>
      <c r="C54" s="24"/>
      <c r="D54" s="11">
        <v>45473.432816238426</v>
      </c>
    </row>
    <row r="55">
      <c r="A55" s="5"/>
      <c r="B55" s="27"/>
      <c r="C55" s="24"/>
      <c r="D55" s="11"/>
    </row>
    <row r="56">
      <c r="A56" s="5"/>
      <c r="B56" s="27"/>
      <c r="C56" s="24"/>
      <c r="D56" s="11"/>
    </row>
    <row r="57">
      <c r="A57" s="5"/>
      <c r="B57" s="27"/>
      <c r="C57" s="24"/>
      <c r="D57" s="11"/>
    </row>
    <row r="58">
      <c r="A58" s="5"/>
      <c r="B58" s="27"/>
      <c r="C58" s="24"/>
      <c r="D58" s="11"/>
    </row>
    <row r="59">
      <c r="A59" s="5"/>
      <c r="B59" s="27"/>
      <c r="C59" s="24"/>
      <c r="D59" s="11"/>
    </row>
    <row r="60">
      <c r="A60" s="5"/>
      <c r="B60" s="27"/>
      <c r="C60" s="24"/>
      <c r="D60" s="11"/>
    </row>
    <row r="61">
      <c r="A61" s="5"/>
      <c r="B61" s="27"/>
      <c r="C61" s="24"/>
      <c r="D61" s="11"/>
    </row>
    <row r="62">
      <c r="A62" s="5"/>
      <c r="B62" s="24"/>
      <c r="C62" s="24"/>
      <c r="D62" s="11"/>
    </row>
    <row r="63">
      <c r="A63" s="5"/>
      <c r="B63" s="24"/>
      <c r="C63" s="24"/>
      <c r="D63" s="11"/>
    </row>
    <row r="64">
      <c r="A64" s="5"/>
      <c r="B64" s="24"/>
      <c r="C64" s="24"/>
      <c r="D64" s="11"/>
    </row>
    <row r="65">
      <c r="A65" s="5"/>
      <c r="B65" s="24"/>
      <c r="C65" s="24"/>
      <c r="D65" s="11"/>
    </row>
    <row r="66">
      <c r="A66" s="5"/>
      <c r="B66" s="24"/>
      <c r="C66" s="24"/>
      <c r="D66" s="11"/>
    </row>
    <row r="67">
      <c r="A67" s="5"/>
      <c r="B67" s="24"/>
      <c r="C67" s="24"/>
      <c r="D67" s="11"/>
    </row>
    <row r="68">
      <c r="A68" s="5"/>
      <c r="B68" s="24"/>
      <c r="C68" s="24"/>
      <c r="D68" s="11"/>
    </row>
    <row r="69">
      <c r="A69" s="5"/>
      <c r="B69" s="24"/>
      <c r="C69" s="24"/>
      <c r="D69" s="11"/>
    </row>
    <row r="70">
      <c r="A70" s="5"/>
      <c r="B70" s="24"/>
      <c r="C70" s="24"/>
      <c r="D70" s="11"/>
    </row>
    <row r="71">
      <c r="A71" s="5"/>
      <c r="B71" s="24"/>
      <c r="C71" s="24"/>
      <c r="D71" s="11"/>
    </row>
    <row r="72">
      <c r="A72" s="5"/>
      <c r="B72" s="24"/>
      <c r="C72" s="24"/>
      <c r="D72" s="11"/>
    </row>
    <row r="73">
      <c r="A73" s="5"/>
      <c r="B73" s="24"/>
      <c r="C73" s="24"/>
      <c r="D73" s="11"/>
    </row>
    <row r="74">
      <c r="A74" s="5"/>
      <c r="B74" s="24"/>
      <c r="C74" s="24"/>
      <c r="D74" s="11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13">
    <cfRule type="notContainsBlanks" dxfId="0" priority="1">
      <formula>LEN(TRIM(D13))&gt;0</formula>
    </cfRule>
  </conditionalFormatting>
  <conditionalFormatting sqref="D3:D12 D14:D99">
    <cfRule type="notContainsBlanks" dxfId="0" priority="2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B1" s="5"/>
      <c r="C1" s="5"/>
      <c r="E1" s="1" t="s">
        <v>27</v>
      </c>
      <c r="H1" s="1" t="s">
        <v>28</v>
      </c>
      <c r="J1" s="1" t="s">
        <v>29</v>
      </c>
      <c r="K1" s="6">
        <f>SUM(J3:J1097)</f>
        <v>13658.78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47</v>
      </c>
      <c r="B3" s="27">
        <v>2330.0</v>
      </c>
      <c r="C3" s="24" t="s">
        <v>921</v>
      </c>
      <c r="D3" s="11">
        <v>45417.47074712963</v>
      </c>
      <c r="E3" s="1" t="s">
        <v>34</v>
      </c>
      <c r="F3" s="8">
        <v>12792.0</v>
      </c>
      <c r="H3" s="2">
        <f>Zbiorczy!D47</f>
        <v>154950</v>
      </c>
      <c r="J3" s="3">
        <f t="shared" ref="J3:J7" si="1">SUMIF($A$3:A$96, K3, B$3:B$96)</f>
        <v>7677.78</v>
      </c>
      <c r="K3" s="1" t="s">
        <v>35</v>
      </c>
      <c r="M3" s="3">
        <f t="shared" ref="M3:M8" si="2">SUMIF($A$3:A$96, N3, B$3:B$96)</f>
        <v>841.22</v>
      </c>
      <c r="N3" s="1" t="s">
        <v>36</v>
      </c>
    </row>
    <row r="4">
      <c r="A4" s="5" t="s">
        <v>51</v>
      </c>
      <c r="B4" s="27">
        <v>250.0</v>
      </c>
      <c r="C4" s="24"/>
      <c r="D4" s="11">
        <v>45417.471032719906</v>
      </c>
      <c r="F4" s="8"/>
      <c r="J4" s="3">
        <f t="shared" si="1"/>
        <v>1726</v>
      </c>
      <c r="K4" s="1" t="s">
        <v>40</v>
      </c>
      <c r="M4" s="3">
        <f t="shared" si="2"/>
        <v>115</v>
      </c>
      <c r="N4" s="1" t="s">
        <v>41</v>
      </c>
    </row>
    <row r="5">
      <c r="A5" s="5" t="s">
        <v>58</v>
      </c>
      <c r="B5" s="27">
        <v>250.0</v>
      </c>
      <c r="C5" s="24" t="s">
        <v>815</v>
      </c>
      <c r="D5" s="11">
        <v>45417.47218131945</v>
      </c>
      <c r="J5" s="3">
        <f t="shared" si="1"/>
        <v>2011</v>
      </c>
      <c r="K5" s="1" t="s">
        <v>46</v>
      </c>
      <c r="M5" s="3">
        <f t="shared" si="2"/>
        <v>2601</v>
      </c>
      <c r="N5" s="1" t="s">
        <v>47</v>
      </c>
    </row>
    <row r="6">
      <c r="A6" s="5" t="s">
        <v>58</v>
      </c>
      <c r="B6" s="27">
        <v>83.0</v>
      </c>
      <c r="C6" s="24" t="s">
        <v>783</v>
      </c>
      <c r="D6" s="11">
        <v>45417.47733553241</v>
      </c>
      <c r="J6" s="3">
        <f t="shared" si="1"/>
        <v>2244</v>
      </c>
      <c r="K6" s="1" t="s">
        <v>50</v>
      </c>
      <c r="M6" s="3">
        <f t="shared" si="2"/>
        <v>340</v>
      </c>
      <c r="N6" s="1" t="s">
        <v>51</v>
      </c>
    </row>
    <row r="7">
      <c r="A7" s="5" t="s">
        <v>36</v>
      </c>
      <c r="B7" s="27">
        <v>200.0</v>
      </c>
      <c r="C7" s="28"/>
      <c r="D7" s="11">
        <v>45417.477467881945</v>
      </c>
      <c r="J7" s="3">
        <f t="shared" si="1"/>
        <v>0</v>
      </c>
      <c r="K7" s="1" t="s">
        <v>55</v>
      </c>
      <c r="M7" s="3">
        <f t="shared" si="2"/>
        <v>4132</v>
      </c>
      <c r="N7" s="1" t="s">
        <v>56</v>
      </c>
    </row>
    <row r="8">
      <c r="A8" s="5" t="s">
        <v>50</v>
      </c>
      <c r="B8" s="27">
        <v>350.0</v>
      </c>
      <c r="C8" s="5" t="s">
        <v>780</v>
      </c>
      <c r="D8" s="11">
        <v>45417.48210584491</v>
      </c>
      <c r="M8" s="3">
        <f t="shared" si="2"/>
        <v>2601</v>
      </c>
      <c r="N8" s="1" t="s">
        <v>47</v>
      </c>
    </row>
    <row r="9">
      <c r="A9" s="5" t="s">
        <v>50</v>
      </c>
      <c r="B9" s="27">
        <v>1382.0</v>
      </c>
      <c r="C9" s="24"/>
      <c r="D9" s="11">
        <v>45417.483100729165</v>
      </c>
    </row>
    <row r="10">
      <c r="A10" s="5" t="s">
        <v>56</v>
      </c>
      <c r="B10" s="27">
        <v>30.0</v>
      </c>
      <c r="C10" s="24" t="s">
        <v>922</v>
      </c>
      <c r="D10" s="11">
        <v>45417.73210009259</v>
      </c>
    </row>
    <row r="11">
      <c r="A11" s="5" t="s">
        <v>51</v>
      </c>
      <c r="B11" s="27">
        <v>90.0</v>
      </c>
      <c r="C11" s="24"/>
      <c r="D11" s="11">
        <v>45417.7322528588</v>
      </c>
    </row>
    <row r="12">
      <c r="A12" s="5" t="s">
        <v>50</v>
      </c>
      <c r="B12" s="27">
        <v>217.0</v>
      </c>
      <c r="C12" s="24" t="s">
        <v>923</v>
      </c>
      <c r="D12" s="11">
        <v>45419.52667479167</v>
      </c>
    </row>
    <row r="13">
      <c r="A13" s="5" t="s">
        <v>56</v>
      </c>
      <c r="B13" s="27">
        <v>333.0</v>
      </c>
      <c r="C13" s="24" t="s">
        <v>924</v>
      </c>
      <c r="D13" s="11">
        <v>45421.734342083335</v>
      </c>
    </row>
    <row r="14">
      <c r="A14" s="5" t="s">
        <v>41</v>
      </c>
      <c r="B14" s="27">
        <v>13.0</v>
      </c>
      <c r="C14" s="24"/>
      <c r="D14" s="11">
        <v>45421.73459140046</v>
      </c>
    </row>
    <row r="15">
      <c r="A15" s="5" t="s">
        <v>56</v>
      </c>
      <c r="B15" s="27">
        <v>265.0</v>
      </c>
      <c r="C15" s="24" t="s">
        <v>925</v>
      </c>
      <c r="D15" s="11">
        <v>45421.73501440972</v>
      </c>
    </row>
    <row r="16">
      <c r="A16" s="5" t="s">
        <v>56</v>
      </c>
      <c r="B16" s="27">
        <v>100.0</v>
      </c>
      <c r="C16" s="24" t="s">
        <v>789</v>
      </c>
      <c r="D16" s="11">
        <v>45421.735716944444</v>
      </c>
    </row>
    <row r="17">
      <c r="A17" s="5" t="s">
        <v>50</v>
      </c>
      <c r="B17" s="27">
        <v>100.0</v>
      </c>
      <c r="C17" s="24" t="s">
        <v>822</v>
      </c>
      <c r="D17" s="11">
        <v>45421.73797050926</v>
      </c>
    </row>
    <row r="18">
      <c r="A18" s="5" t="s">
        <v>47</v>
      </c>
      <c r="B18" s="27">
        <v>246.0</v>
      </c>
      <c r="C18" s="24" t="s">
        <v>926</v>
      </c>
      <c r="D18" s="11">
        <v>45421.73973120371</v>
      </c>
    </row>
    <row r="19">
      <c r="A19" s="5" t="s">
        <v>36</v>
      </c>
      <c r="B19" s="27">
        <v>19.0</v>
      </c>
      <c r="C19" s="24"/>
      <c r="D19" s="11">
        <v>45421.839335150464</v>
      </c>
    </row>
    <row r="20">
      <c r="A20" s="5" t="s">
        <v>36</v>
      </c>
      <c r="B20" s="29">
        <v>65.0</v>
      </c>
      <c r="C20" s="24"/>
      <c r="D20" s="11">
        <v>45425.328835266206</v>
      </c>
    </row>
    <row r="21">
      <c r="A21" s="5" t="s">
        <v>56</v>
      </c>
      <c r="B21" s="27">
        <v>550.0</v>
      </c>
      <c r="C21" s="24" t="s">
        <v>890</v>
      </c>
      <c r="D21" s="11">
        <v>45425.51386070602</v>
      </c>
      <c r="E21" s="11"/>
      <c r="F21" s="11"/>
      <c r="G21" s="11"/>
    </row>
    <row r="22">
      <c r="A22" s="5" t="s">
        <v>148</v>
      </c>
      <c r="B22" s="27">
        <v>180.0</v>
      </c>
      <c r="C22" s="24"/>
      <c r="D22" s="11">
        <v>45425.78586230324</v>
      </c>
    </row>
    <row r="23">
      <c r="A23" s="5" t="s">
        <v>56</v>
      </c>
      <c r="B23" s="27">
        <v>55.0</v>
      </c>
      <c r="C23" s="24"/>
      <c r="D23" s="11">
        <v>45427.65597519676</v>
      </c>
    </row>
    <row r="24">
      <c r="A24" s="5" t="s">
        <v>56</v>
      </c>
      <c r="B24" s="27">
        <v>58.0</v>
      </c>
      <c r="C24" s="24"/>
      <c r="D24" s="11">
        <v>45429.705888171295</v>
      </c>
    </row>
    <row r="25">
      <c r="A25" s="5" t="s">
        <v>201</v>
      </c>
      <c r="B25" s="27">
        <v>7677.78</v>
      </c>
      <c r="C25" s="24"/>
      <c r="D25" s="11">
        <v>45430.37305300926</v>
      </c>
    </row>
    <row r="26">
      <c r="A26" s="5" t="s">
        <v>40</v>
      </c>
      <c r="B26" s="27">
        <v>12.0</v>
      </c>
      <c r="C26" s="24"/>
      <c r="D26" s="11">
        <v>45430.37332241898</v>
      </c>
    </row>
    <row r="27">
      <c r="A27" s="5" t="s">
        <v>56</v>
      </c>
      <c r="B27" s="27">
        <v>80.0</v>
      </c>
      <c r="C27" s="24" t="s">
        <v>890</v>
      </c>
      <c r="D27" s="11">
        <v>45432.317533298614</v>
      </c>
    </row>
    <row r="28">
      <c r="A28" s="5" t="s">
        <v>46</v>
      </c>
      <c r="B28" s="34">
        <v>2011.0</v>
      </c>
      <c r="C28" s="24"/>
      <c r="D28" s="11">
        <v>45432.317711111114</v>
      </c>
    </row>
    <row r="29">
      <c r="A29" s="5" t="s">
        <v>40</v>
      </c>
      <c r="B29" s="29">
        <v>1714.0</v>
      </c>
      <c r="C29" s="24"/>
      <c r="D29" s="11">
        <v>45432.31781818287</v>
      </c>
    </row>
    <row r="30">
      <c r="A30" s="5" t="s">
        <v>36</v>
      </c>
      <c r="B30" s="29">
        <v>110.0</v>
      </c>
      <c r="C30" s="24"/>
      <c r="D30" s="11">
        <v>45432.782458622685</v>
      </c>
    </row>
    <row r="31">
      <c r="A31" s="5" t="s">
        <v>56</v>
      </c>
      <c r="B31" s="27">
        <v>100.0</v>
      </c>
      <c r="C31" s="24"/>
      <c r="D31" s="11">
        <v>45432.78253502314</v>
      </c>
    </row>
    <row r="32">
      <c r="A32" s="5" t="s">
        <v>56</v>
      </c>
      <c r="B32" s="27">
        <v>750.0</v>
      </c>
      <c r="C32" s="24" t="s">
        <v>777</v>
      </c>
      <c r="D32" s="11">
        <v>45442.79183873843</v>
      </c>
    </row>
    <row r="33">
      <c r="A33" s="5" t="s">
        <v>148</v>
      </c>
      <c r="B33" s="27">
        <v>100.0</v>
      </c>
      <c r="C33" s="24"/>
      <c r="D33" s="11">
        <v>45442.79347024305</v>
      </c>
    </row>
    <row r="34">
      <c r="A34" s="5" t="s">
        <v>56</v>
      </c>
      <c r="B34" s="31">
        <v>80.0</v>
      </c>
      <c r="C34" s="24" t="s">
        <v>927</v>
      </c>
      <c r="D34" s="11">
        <v>45442.79356774305</v>
      </c>
    </row>
    <row r="35">
      <c r="A35" s="5" t="s">
        <v>73</v>
      </c>
      <c r="B35" s="31">
        <v>200.0</v>
      </c>
      <c r="C35" s="24" t="s">
        <v>928</v>
      </c>
      <c r="D35" s="11">
        <v>45442.793664004625</v>
      </c>
    </row>
    <row r="36">
      <c r="A36" s="5" t="s">
        <v>56</v>
      </c>
      <c r="B36" s="27">
        <v>30.0</v>
      </c>
      <c r="C36" s="24" t="s">
        <v>929</v>
      </c>
      <c r="D36" s="11">
        <v>45442.79375633102</v>
      </c>
    </row>
    <row r="37">
      <c r="A37" s="5" t="s">
        <v>36</v>
      </c>
      <c r="B37" s="34">
        <v>30.0</v>
      </c>
      <c r="C37" s="24"/>
      <c r="D37" s="11">
        <v>45442.79386479167</v>
      </c>
    </row>
    <row r="38">
      <c r="A38" s="5" t="s">
        <v>56</v>
      </c>
      <c r="B38" s="27">
        <v>200.0</v>
      </c>
      <c r="C38" s="24" t="s">
        <v>882</v>
      </c>
      <c r="D38" s="11">
        <v>45442.793918587966</v>
      </c>
    </row>
    <row r="39">
      <c r="A39" s="5" t="s">
        <v>56</v>
      </c>
      <c r="B39" s="32">
        <v>208.0</v>
      </c>
      <c r="C39" s="24" t="s">
        <v>930</v>
      </c>
      <c r="D39" s="11">
        <v>45442.794132372685</v>
      </c>
    </row>
    <row r="40">
      <c r="A40" s="5" t="s">
        <v>41</v>
      </c>
      <c r="B40" s="27">
        <v>9.0</v>
      </c>
      <c r="C40" s="24"/>
      <c r="D40" s="11">
        <v>45442.79435880787</v>
      </c>
    </row>
    <row r="41">
      <c r="A41" s="5" t="s">
        <v>56</v>
      </c>
      <c r="B41" s="27">
        <v>95.0</v>
      </c>
      <c r="C41" s="24" t="s">
        <v>931</v>
      </c>
      <c r="D41" s="11">
        <v>45442.794434027775</v>
      </c>
    </row>
    <row r="42">
      <c r="A42" s="5" t="s">
        <v>56</v>
      </c>
      <c r="B42" s="27">
        <v>80.0</v>
      </c>
      <c r="C42" s="24" t="s">
        <v>932</v>
      </c>
      <c r="D42" s="11">
        <v>45442.79459828704</v>
      </c>
    </row>
    <row r="43">
      <c r="A43" s="5" t="s">
        <v>42</v>
      </c>
      <c r="B43" s="27">
        <v>80.0</v>
      </c>
      <c r="C43" s="24" t="s">
        <v>933</v>
      </c>
      <c r="D43" s="11">
        <v>45442.79469980324</v>
      </c>
    </row>
    <row r="44">
      <c r="A44" s="5" t="s">
        <v>47</v>
      </c>
      <c r="B44" s="27">
        <v>20.0</v>
      </c>
      <c r="C44" s="24" t="s">
        <v>780</v>
      </c>
      <c r="D44" s="11">
        <v>45442.79491152777</v>
      </c>
    </row>
    <row r="45">
      <c r="A45" s="5" t="s">
        <v>36</v>
      </c>
      <c r="B45" s="27">
        <v>19.0</v>
      </c>
      <c r="C45" s="24"/>
      <c r="D45" s="11">
        <v>45442.79498813658</v>
      </c>
    </row>
    <row r="46">
      <c r="A46" s="5" t="s">
        <v>41</v>
      </c>
      <c r="B46" s="27">
        <v>15.0</v>
      </c>
      <c r="C46" s="24"/>
      <c r="D46" s="11">
        <v>45442.79507512732</v>
      </c>
    </row>
    <row r="47">
      <c r="A47" s="5" t="s">
        <v>56</v>
      </c>
      <c r="B47" s="27">
        <v>150.0</v>
      </c>
      <c r="C47" s="24" t="s">
        <v>934</v>
      </c>
      <c r="D47" s="11">
        <v>45442.795122662035</v>
      </c>
    </row>
    <row r="48">
      <c r="A48" s="5" t="s">
        <v>56</v>
      </c>
      <c r="B48" s="27">
        <v>9.0</v>
      </c>
      <c r="C48" s="24" t="s">
        <v>935</v>
      </c>
      <c r="D48" s="11">
        <v>45442.79519809027</v>
      </c>
    </row>
    <row r="49">
      <c r="A49" s="5" t="s">
        <v>50</v>
      </c>
      <c r="B49" s="27">
        <v>150.0</v>
      </c>
      <c r="C49" s="24"/>
      <c r="D49" s="11">
        <v>45442.795306203705</v>
      </c>
    </row>
    <row r="50">
      <c r="A50" s="5" t="s">
        <v>56</v>
      </c>
      <c r="B50" s="27">
        <v>85.0</v>
      </c>
      <c r="C50" s="24" t="s">
        <v>534</v>
      </c>
      <c r="D50" s="11">
        <v>45442.79561664352</v>
      </c>
    </row>
    <row r="51">
      <c r="A51" s="5" t="s">
        <v>56</v>
      </c>
      <c r="B51" s="27">
        <v>58.0</v>
      </c>
      <c r="C51" s="24" t="s">
        <v>930</v>
      </c>
      <c r="D51" s="11">
        <v>45442.79582322917</v>
      </c>
    </row>
    <row r="52">
      <c r="A52" s="5" t="s">
        <v>41</v>
      </c>
      <c r="B52" s="27">
        <v>17.0</v>
      </c>
      <c r="C52" s="24"/>
      <c r="D52" s="11">
        <v>45442.7959017824</v>
      </c>
    </row>
    <row r="53">
      <c r="A53" s="5" t="s">
        <v>41</v>
      </c>
      <c r="B53" s="27">
        <v>9.0</v>
      </c>
      <c r="C53" s="24"/>
      <c r="D53" s="11">
        <v>45442.79596633102</v>
      </c>
    </row>
    <row r="54">
      <c r="A54" s="5" t="s">
        <v>56</v>
      </c>
      <c r="B54" s="27">
        <v>100.0</v>
      </c>
      <c r="C54" s="24" t="s">
        <v>936</v>
      </c>
      <c r="D54" s="11">
        <v>45442.796029386576</v>
      </c>
    </row>
    <row r="55">
      <c r="A55" s="5" t="s">
        <v>36</v>
      </c>
      <c r="B55" s="27">
        <v>110.0</v>
      </c>
      <c r="C55" s="24"/>
      <c r="D55" s="11">
        <v>45442.79615475694</v>
      </c>
    </row>
    <row r="56">
      <c r="A56" s="5" t="s">
        <v>56</v>
      </c>
      <c r="B56" s="27">
        <v>25.0</v>
      </c>
      <c r="C56" s="24" t="s">
        <v>937</v>
      </c>
      <c r="D56" s="11">
        <v>45442.79623673611</v>
      </c>
    </row>
    <row r="57">
      <c r="A57" s="5" t="s">
        <v>56</v>
      </c>
      <c r="B57" s="27">
        <v>157.0</v>
      </c>
      <c r="C57" s="24" t="s">
        <v>938</v>
      </c>
      <c r="D57" s="11">
        <v>45442.79637659722</v>
      </c>
    </row>
    <row r="58">
      <c r="A58" s="5" t="s">
        <v>56</v>
      </c>
      <c r="B58" s="27">
        <v>22.0</v>
      </c>
      <c r="C58" s="24" t="s">
        <v>861</v>
      </c>
      <c r="D58" s="11">
        <v>45442.79657021991</v>
      </c>
    </row>
    <row r="59">
      <c r="A59" s="5" t="s">
        <v>36</v>
      </c>
      <c r="B59" s="27">
        <v>150.0</v>
      </c>
      <c r="C59" s="24"/>
      <c r="D59" s="11">
        <v>45442.79666108797</v>
      </c>
    </row>
    <row r="60">
      <c r="A60" s="5" t="s">
        <v>47</v>
      </c>
      <c r="B60" s="27">
        <v>5.0</v>
      </c>
      <c r="C60" s="24"/>
      <c r="D60" s="11">
        <v>45442.79675775463</v>
      </c>
    </row>
    <row r="61">
      <c r="A61" s="5" t="s">
        <v>41</v>
      </c>
      <c r="B61" s="17">
        <v>9.0</v>
      </c>
      <c r="C61" s="24"/>
      <c r="D61" s="11">
        <v>45442.79681395833</v>
      </c>
    </row>
    <row r="62">
      <c r="A62" s="5" t="s">
        <v>56</v>
      </c>
      <c r="B62" s="24">
        <v>33.0</v>
      </c>
      <c r="C62" s="24" t="s">
        <v>834</v>
      </c>
      <c r="D62" s="11">
        <v>45442.79717133102</v>
      </c>
    </row>
    <row r="63">
      <c r="A63" s="5" t="s">
        <v>56</v>
      </c>
      <c r="B63" s="24">
        <v>58.0</v>
      </c>
      <c r="C63" s="24" t="s">
        <v>834</v>
      </c>
      <c r="D63" s="11">
        <v>45442.797243506946</v>
      </c>
    </row>
    <row r="64">
      <c r="A64" s="5" t="s">
        <v>36</v>
      </c>
      <c r="B64" s="24">
        <v>30.0</v>
      </c>
      <c r="C64" s="24"/>
      <c r="D64" s="11">
        <v>45442.79732217593</v>
      </c>
    </row>
    <row r="65">
      <c r="A65" s="5" t="s">
        <v>56</v>
      </c>
      <c r="B65" s="24">
        <v>15.0</v>
      </c>
      <c r="C65" s="24" t="s">
        <v>803</v>
      </c>
      <c r="D65" s="11">
        <v>45442.79754274305</v>
      </c>
    </row>
    <row r="66">
      <c r="A66" s="5" t="s">
        <v>41</v>
      </c>
      <c r="B66" s="24">
        <v>23.0</v>
      </c>
      <c r="C66" s="24"/>
      <c r="D66" s="11">
        <v>45442.79764483796</v>
      </c>
    </row>
    <row r="67">
      <c r="A67" s="5" t="s">
        <v>56</v>
      </c>
      <c r="B67" s="24">
        <v>47.0</v>
      </c>
      <c r="C67" s="24" t="s">
        <v>939</v>
      </c>
      <c r="D67" s="11">
        <v>45442.79767864583</v>
      </c>
    </row>
    <row r="68">
      <c r="A68" s="5" t="s">
        <v>56</v>
      </c>
      <c r="B68" s="24">
        <v>55.0</v>
      </c>
      <c r="C68" s="24" t="s">
        <v>834</v>
      </c>
      <c r="D68" s="11">
        <v>45442.79778188658</v>
      </c>
    </row>
    <row r="69">
      <c r="A69" s="5" t="s">
        <v>80</v>
      </c>
      <c r="B69" s="24">
        <v>70.0</v>
      </c>
      <c r="C69" s="24"/>
      <c r="D69" s="11">
        <v>45442.79829850694</v>
      </c>
    </row>
    <row r="70">
      <c r="A70" s="5" t="s">
        <v>36</v>
      </c>
      <c r="B70" s="24">
        <v>60.0</v>
      </c>
      <c r="C70" s="24"/>
      <c r="D70" s="11">
        <v>45442.79834872685</v>
      </c>
    </row>
    <row r="71">
      <c r="A71" s="5" t="s">
        <v>56</v>
      </c>
      <c r="B71" s="24">
        <v>130.0</v>
      </c>
      <c r="C71" s="24" t="s">
        <v>940</v>
      </c>
      <c r="D71" s="11">
        <v>45442.79845905093</v>
      </c>
    </row>
    <row r="72">
      <c r="A72" s="5" t="s">
        <v>36</v>
      </c>
      <c r="B72" s="24">
        <v>14.0</v>
      </c>
      <c r="C72" s="24"/>
      <c r="D72" s="11">
        <v>45442.79858650463</v>
      </c>
    </row>
    <row r="73">
      <c r="A73" s="5" t="s">
        <v>41</v>
      </c>
      <c r="B73" s="24">
        <v>20.0</v>
      </c>
      <c r="C73" s="24"/>
      <c r="D73" s="11">
        <v>45442.798673032405</v>
      </c>
    </row>
    <row r="74">
      <c r="A74" s="5" t="s">
        <v>50</v>
      </c>
      <c r="B74" s="24">
        <v>45.0</v>
      </c>
      <c r="C74" s="24" t="s">
        <v>934</v>
      </c>
      <c r="D74" s="11">
        <v>45442.798868136575</v>
      </c>
    </row>
    <row r="75">
      <c r="A75" s="5" t="s">
        <v>56</v>
      </c>
      <c r="B75" s="24">
        <v>174.0</v>
      </c>
      <c r="C75" s="24" t="s">
        <v>811</v>
      </c>
      <c r="D75" s="11">
        <v>45442.80258065972</v>
      </c>
    </row>
    <row r="76">
      <c r="A76" s="5" t="s">
        <v>58</v>
      </c>
      <c r="B76" s="24">
        <v>347.0</v>
      </c>
      <c r="C76" s="24"/>
      <c r="D76" s="11">
        <v>45442.802896354166</v>
      </c>
    </row>
    <row r="77">
      <c r="A77" s="5" t="s">
        <v>36</v>
      </c>
      <c r="B77" s="24">
        <v>34.22</v>
      </c>
      <c r="C77" s="24"/>
      <c r="D77" s="11">
        <v>45442.81021186343</v>
      </c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13"/>
      <c r="D87" s="25"/>
    </row>
    <row r="88">
      <c r="A88" s="5"/>
      <c r="B88" s="24"/>
      <c r="C88" s="24"/>
      <c r="D88" s="25"/>
    </row>
    <row r="89">
      <c r="A89" s="5"/>
      <c r="B89" s="24"/>
      <c r="C89" s="24"/>
      <c r="D89" s="25"/>
    </row>
    <row r="90">
      <c r="A90" s="5"/>
      <c r="B90" s="24"/>
      <c r="C90" s="24"/>
      <c r="D90" s="25"/>
    </row>
    <row r="91">
      <c r="A91" s="5"/>
      <c r="B91" s="24"/>
      <c r="C91" s="13"/>
      <c r="D91" s="25"/>
    </row>
    <row r="92">
      <c r="A92" s="5"/>
      <c r="B92" s="24"/>
      <c r="C92" s="24"/>
      <c r="D92" s="25"/>
    </row>
    <row r="93">
      <c r="A93" s="12"/>
      <c r="B93" s="24"/>
      <c r="C93" s="13"/>
      <c r="D93" s="25"/>
    </row>
    <row r="94">
      <c r="A94" s="12"/>
      <c r="B94" s="24"/>
      <c r="C94" s="13"/>
      <c r="D94" s="25"/>
    </row>
    <row r="95">
      <c r="A95" s="12"/>
      <c r="B95" s="13"/>
      <c r="C95" s="13"/>
      <c r="D95" s="25"/>
    </row>
    <row r="96">
      <c r="A96" s="12"/>
      <c r="B96" s="13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</row>
    <row r="99">
      <c r="A99" s="12"/>
      <c r="B99" s="13"/>
      <c r="C99" s="13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  <c r="D998" s="11">
        <v>45443.336325185184</v>
      </c>
    </row>
    <row r="999">
      <c r="A999" s="12"/>
      <c r="B999" s="13"/>
      <c r="C999" s="13"/>
      <c r="D999" s="11">
        <v>45443.336325185184</v>
      </c>
    </row>
    <row r="1000">
      <c r="A1000" s="12"/>
      <c r="B1000" s="13"/>
      <c r="C1000" s="13"/>
      <c r="D1000" s="11">
        <v>45443.336325185184</v>
      </c>
    </row>
    <row r="1001">
      <c r="A1001" s="12"/>
      <c r="B1001" s="13"/>
      <c r="C1001" s="13"/>
      <c r="D1001" s="11">
        <v>45443.336325185184</v>
      </c>
    </row>
    <row r="1002">
      <c r="A1002" s="12"/>
      <c r="B1002" s="13"/>
      <c r="C1002" s="13"/>
      <c r="D1002" s="11">
        <v>45443.336325185184</v>
      </c>
    </row>
    <row r="1003">
      <c r="A1003" s="12"/>
      <c r="B1003" s="13"/>
      <c r="C1003" s="13"/>
      <c r="D1003" s="11">
        <v>45443.336325185184</v>
      </c>
    </row>
    <row r="1004">
      <c r="A1004" s="12"/>
      <c r="B1004" s="13"/>
      <c r="C1004" s="13"/>
      <c r="D1004" s="11">
        <v>45443.336325185184</v>
      </c>
    </row>
    <row r="1005">
      <c r="A1005" s="12"/>
      <c r="B1005" s="13"/>
      <c r="C1005" s="13"/>
      <c r="D1005" s="11">
        <v>45443.336325185184</v>
      </c>
    </row>
    <row r="1006">
      <c r="A1006" s="12"/>
      <c r="B1006" s="13"/>
      <c r="C1006" s="13"/>
      <c r="D1006" s="11">
        <v>45443.336325185184</v>
      </c>
    </row>
    <row r="1007">
      <c r="A1007" s="12"/>
      <c r="B1007" s="13"/>
      <c r="C1007" s="13"/>
      <c r="D1007" s="11">
        <v>45443.336325185184</v>
      </c>
    </row>
    <row r="1008">
      <c r="A1008" s="12"/>
      <c r="B1008" s="13"/>
      <c r="C1008" s="13"/>
      <c r="D1008" s="11">
        <v>45443.336325185184</v>
      </c>
    </row>
    <row r="1009">
      <c r="A1009" s="12"/>
      <c r="B1009" s="13"/>
      <c r="C1009" s="13"/>
      <c r="D1009" s="11">
        <v>45443.336325185184</v>
      </c>
    </row>
    <row r="1010">
      <c r="A1010" s="12"/>
      <c r="B1010" s="13"/>
      <c r="C1010" s="13"/>
      <c r="D1010" s="11">
        <v>45443.336325185184</v>
      </c>
    </row>
    <row r="1011">
      <c r="A1011" s="12"/>
      <c r="B1011" s="13"/>
      <c r="C1011" s="13"/>
      <c r="D1011" s="11">
        <v>45443.336325185184</v>
      </c>
    </row>
    <row r="1012">
      <c r="A1012" s="12"/>
      <c r="B1012" s="13"/>
      <c r="C1012" s="13"/>
      <c r="D1012" s="11">
        <v>45443.336325185184</v>
      </c>
    </row>
    <row r="1013">
      <c r="A1013" s="12"/>
      <c r="B1013" s="13"/>
      <c r="C1013" s="13"/>
      <c r="D1013" s="11">
        <v>45443.336325185184</v>
      </c>
    </row>
    <row r="1014">
      <c r="A1014" s="12"/>
      <c r="B1014" s="13"/>
      <c r="C1014" s="13"/>
      <c r="D1014" s="11">
        <v>45443.336325185184</v>
      </c>
    </row>
    <row r="1015">
      <c r="A1015" s="12"/>
      <c r="B1015" s="13"/>
      <c r="C1015" s="13"/>
      <c r="D1015" s="11">
        <v>45443.336325185184</v>
      </c>
    </row>
    <row r="1016">
      <c r="A1016" s="12"/>
      <c r="B1016" s="13"/>
      <c r="C1016" s="13"/>
      <c r="D1016" s="11">
        <v>45443.336325185184</v>
      </c>
    </row>
    <row r="1017">
      <c r="A1017" s="12"/>
      <c r="B1017" s="13"/>
      <c r="C1017" s="13"/>
      <c r="D1017" s="11">
        <v>45443.336325185184</v>
      </c>
    </row>
    <row r="1018">
      <c r="A1018" s="12"/>
      <c r="B1018" s="13"/>
      <c r="C1018" s="13"/>
      <c r="D1018" s="11">
        <v>45443.336325185184</v>
      </c>
    </row>
    <row r="1019">
      <c r="A1019" s="12"/>
      <c r="B1019" s="13"/>
      <c r="C1019" s="13"/>
      <c r="D1019" s="11">
        <v>45443.336325185184</v>
      </c>
    </row>
    <row r="1020">
      <c r="A1020" s="12"/>
      <c r="B1020" s="13"/>
      <c r="C1020" s="13"/>
      <c r="D1020" s="11">
        <v>45443.336325185184</v>
      </c>
    </row>
    <row r="1021">
      <c r="A1021" s="12"/>
      <c r="B1021" s="13"/>
      <c r="C1021" s="13"/>
      <c r="D1021" s="11">
        <v>45443.336325185184</v>
      </c>
    </row>
    <row r="1022">
      <c r="A1022" s="12"/>
      <c r="B1022" s="13"/>
      <c r="C1022" s="13"/>
      <c r="D1022" s="11">
        <v>45443.336325185184</v>
      </c>
    </row>
    <row r="1023">
      <c r="A1023" s="12"/>
      <c r="B1023" s="13"/>
      <c r="C1023" s="13"/>
      <c r="D1023" s="11">
        <v>45443.336325185184</v>
      </c>
    </row>
    <row r="1024">
      <c r="A1024" s="12"/>
      <c r="B1024" s="13"/>
      <c r="C1024" s="13"/>
      <c r="D1024" s="11">
        <v>45443.336325185184</v>
      </c>
    </row>
    <row r="1025">
      <c r="A1025" s="12"/>
      <c r="B1025" s="13"/>
      <c r="C1025" s="13"/>
      <c r="D1025" s="11">
        <v>45443.336325185184</v>
      </c>
    </row>
    <row r="1026">
      <c r="A1026" s="12"/>
      <c r="B1026" s="13"/>
      <c r="C1026" s="13"/>
      <c r="D1026" s="11">
        <v>45443.336325185184</v>
      </c>
    </row>
    <row r="1027">
      <c r="A1027" s="12"/>
      <c r="B1027" s="13"/>
      <c r="C1027" s="13"/>
      <c r="D1027" s="11">
        <v>45443.336325185184</v>
      </c>
    </row>
    <row r="1028">
      <c r="A1028" s="12"/>
      <c r="B1028" s="13"/>
      <c r="C1028" s="13"/>
      <c r="D1028" s="11">
        <v>45443.336325185184</v>
      </c>
    </row>
    <row r="1029">
      <c r="A1029" s="12"/>
      <c r="B1029" s="13"/>
      <c r="C1029" s="13"/>
      <c r="D1029" s="11">
        <v>45443.336325185184</v>
      </c>
    </row>
    <row r="1030">
      <c r="A1030" s="12"/>
      <c r="B1030" s="13"/>
      <c r="C1030" s="13"/>
      <c r="D1030" s="11">
        <v>45443.336325185184</v>
      </c>
    </row>
    <row r="1031">
      <c r="A1031" s="12"/>
      <c r="B1031" s="13"/>
      <c r="C1031" s="13"/>
      <c r="D1031" s="11">
        <v>45443.336325185184</v>
      </c>
    </row>
    <row r="1032">
      <c r="A1032" s="12"/>
      <c r="B1032" s="13"/>
      <c r="C1032" s="13"/>
      <c r="D1032" s="11">
        <v>45443.336325185184</v>
      </c>
    </row>
    <row r="1033">
      <c r="A1033" s="12"/>
      <c r="B1033" s="13"/>
      <c r="C1033" s="13"/>
      <c r="D1033" s="11">
        <v>45443.336325185184</v>
      </c>
    </row>
    <row r="1034">
      <c r="A1034" s="12"/>
      <c r="B1034" s="13"/>
      <c r="C1034" s="13"/>
      <c r="D1034" s="11">
        <v>45443.336325185184</v>
      </c>
    </row>
    <row r="1035">
      <c r="A1035" s="12"/>
      <c r="B1035" s="13"/>
      <c r="C1035" s="13"/>
      <c r="D1035" s="11">
        <v>45443.336325185184</v>
      </c>
    </row>
    <row r="1036">
      <c r="A1036" s="12"/>
      <c r="B1036" s="13"/>
      <c r="C1036" s="13"/>
      <c r="D1036" s="11">
        <v>45443.336325185184</v>
      </c>
    </row>
    <row r="1037">
      <c r="A1037" s="12"/>
      <c r="B1037" s="13"/>
      <c r="C1037" s="13"/>
      <c r="D1037" s="11">
        <v>45443.336325185184</v>
      </c>
    </row>
    <row r="1038">
      <c r="A1038" s="12"/>
      <c r="B1038" s="13"/>
      <c r="C1038" s="13"/>
      <c r="D1038" s="11">
        <v>45443.336325185184</v>
      </c>
    </row>
    <row r="1039">
      <c r="A1039" s="12"/>
      <c r="B1039" s="13"/>
      <c r="C1039" s="13"/>
      <c r="D1039" s="11">
        <v>45443.336325185184</v>
      </c>
    </row>
    <row r="1040">
      <c r="A1040" s="12"/>
      <c r="B1040" s="13"/>
      <c r="C1040" s="13"/>
      <c r="D1040" s="11">
        <v>45443.336325185184</v>
      </c>
    </row>
    <row r="1041">
      <c r="A1041" s="12"/>
      <c r="B1041" s="13"/>
      <c r="C1041" s="13"/>
      <c r="D1041" s="11">
        <v>45443.336325185184</v>
      </c>
    </row>
    <row r="1042">
      <c r="A1042" s="12"/>
      <c r="B1042" s="13"/>
      <c r="C1042" s="13"/>
      <c r="D1042" s="11">
        <v>45443.336325185184</v>
      </c>
    </row>
    <row r="1043">
      <c r="A1043" s="12"/>
      <c r="B1043" s="13"/>
      <c r="C1043" s="13"/>
      <c r="D1043" s="11">
        <v>45443.336325185184</v>
      </c>
    </row>
    <row r="1044">
      <c r="A1044" s="12"/>
      <c r="B1044" s="13"/>
      <c r="C1044" s="13"/>
      <c r="D1044" s="11">
        <v>45443.336325185184</v>
      </c>
    </row>
    <row r="1045">
      <c r="A1045" s="12"/>
      <c r="B1045" s="13"/>
      <c r="C1045" s="13"/>
      <c r="D1045" s="11">
        <v>45443.336325185184</v>
      </c>
    </row>
    <row r="1046">
      <c r="A1046" s="12"/>
      <c r="B1046" s="13"/>
      <c r="C1046" s="13"/>
      <c r="D1046" s="11">
        <v>45443.336325185184</v>
      </c>
    </row>
    <row r="1047">
      <c r="A1047" s="12"/>
      <c r="B1047" s="13"/>
      <c r="C1047" s="13"/>
      <c r="D1047" s="11">
        <v>45443.336325185184</v>
      </c>
    </row>
    <row r="1048">
      <c r="A1048" s="12"/>
      <c r="B1048" s="13"/>
      <c r="C1048" s="13"/>
      <c r="D1048" s="11">
        <v>45443.336325185184</v>
      </c>
    </row>
    <row r="1049">
      <c r="A1049" s="12"/>
      <c r="B1049" s="13"/>
      <c r="C1049" s="13"/>
      <c r="D1049" s="11">
        <v>45443.336325185184</v>
      </c>
    </row>
    <row r="1050">
      <c r="A1050" s="12"/>
      <c r="B1050" s="13"/>
      <c r="C1050" s="13"/>
      <c r="D1050" s="11">
        <v>45443.336325185184</v>
      </c>
    </row>
    <row r="1051">
      <c r="A1051" s="12"/>
      <c r="B1051" s="13"/>
      <c r="C1051" s="13"/>
      <c r="D1051" s="11">
        <v>45443.336325185184</v>
      </c>
    </row>
    <row r="1052">
      <c r="A1052" s="12"/>
      <c r="B1052" s="13"/>
      <c r="C1052" s="13"/>
      <c r="D1052" s="11">
        <v>45443.336325185184</v>
      </c>
    </row>
    <row r="1053">
      <c r="A1053" s="12"/>
      <c r="B1053" s="13"/>
      <c r="C1053" s="13"/>
      <c r="D1053" s="11">
        <v>45443.336325185184</v>
      </c>
    </row>
    <row r="1054">
      <c r="A1054" s="12"/>
      <c r="B1054" s="13"/>
      <c r="C1054" s="13"/>
      <c r="D1054" s="11">
        <v>45443.336325185184</v>
      </c>
    </row>
    <row r="1055">
      <c r="A1055" s="12"/>
      <c r="B1055" s="13"/>
      <c r="C1055" s="13"/>
      <c r="D1055" s="11">
        <v>45443.336325185184</v>
      </c>
    </row>
    <row r="1056">
      <c r="A1056" s="12"/>
      <c r="B1056" s="13"/>
      <c r="C1056" s="13"/>
      <c r="D1056" s="11">
        <v>45443.336325185184</v>
      </c>
    </row>
    <row r="1057">
      <c r="A1057" s="12"/>
      <c r="B1057" s="13"/>
      <c r="C1057" s="13"/>
      <c r="D1057" s="11">
        <v>45443.336325185184</v>
      </c>
    </row>
    <row r="1058">
      <c r="A1058" s="12"/>
      <c r="B1058" s="13"/>
      <c r="C1058" s="13"/>
      <c r="D1058" s="11">
        <v>45443.336325185184</v>
      </c>
    </row>
    <row r="1059">
      <c r="A1059" s="12"/>
      <c r="B1059" s="13"/>
      <c r="C1059" s="13"/>
      <c r="D1059" s="11">
        <v>45443.336325185184</v>
      </c>
    </row>
    <row r="1060">
      <c r="A1060" s="12"/>
      <c r="B1060" s="13"/>
      <c r="C1060" s="13"/>
      <c r="D1060" s="11">
        <v>45443.336325185184</v>
      </c>
    </row>
    <row r="1061">
      <c r="A1061" s="12"/>
      <c r="B1061" s="13"/>
      <c r="C1061" s="13"/>
      <c r="D1061" s="11">
        <v>45443.336325185184</v>
      </c>
    </row>
    <row r="1062">
      <c r="A1062" s="12"/>
      <c r="B1062" s="13"/>
      <c r="C1062" s="13"/>
      <c r="D1062" s="11">
        <v>45443.336325185184</v>
      </c>
    </row>
    <row r="1063">
      <c r="A1063" s="12"/>
      <c r="B1063" s="13"/>
      <c r="C1063" s="13"/>
      <c r="D1063" s="11">
        <v>45443.336325185184</v>
      </c>
    </row>
    <row r="1064">
      <c r="A1064" s="12"/>
      <c r="B1064" s="13"/>
      <c r="C1064" s="13"/>
      <c r="D1064" s="11">
        <v>45443.336325185184</v>
      </c>
    </row>
    <row r="1065">
      <c r="A1065" s="12"/>
      <c r="B1065" s="13"/>
      <c r="C1065" s="13"/>
      <c r="D1065" s="11">
        <v>45443.336325185184</v>
      </c>
    </row>
    <row r="1066">
      <c r="A1066" s="12"/>
      <c r="B1066" s="13"/>
      <c r="C1066" s="13"/>
      <c r="D1066" s="11">
        <v>45443.336325185184</v>
      </c>
    </row>
    <row r="1067">
      <c r="A1067" s="12"/>
      <c r="B1067" s="13"/>
      <c r="C1067" s="13"/>
      <c r="D1067" s="11">
        <v>45443.336325185184</v>
      </c>
    </row>
    <row r="1068">
      <c r="A1068" s="12"/>
      <c r="B1068" s="13"/>
      <c r="C1068" s="13"/>
      <c r="D1068" s="11">
        <v>45443.336325185184</v>
      </c>
    </row>
    <row r="1069">
      <c r="A1069" s="12"/>
      <c r="B1069" s="13"/>
      <c r="C1069" s="13"/>
      <c r="D1069" s="11">
        <v>45443.336325185184</v>
      </c>
    </row>
    <row r="1070">
      <c r="A1070" s="12"/>
      <c r="B1070" s="13"/>
      <c r="C1070" s="13"/>
      <c r="D1070" s="11">
        <v>45443.336325185184</v>
      </c>
    </row>
    <row r="1071">
      <c r="A1071" s="12"/>
      <c r="B1071" s="13"/>
      <c r="C1071" s="13"/>
      <c r="D1071" s="11">
        <v>45443.336325185184</v>
      </c>
    </row>
    <row r="1072">
      <c r="A1072" s="12"/>
      <c r="B1072" s="13"/>
      <c r="C1072" s="13"/>
      <c r="D1072" s="11">
        <v>45443.336325185184</v>
      </c>
    </row>
    <row r="1073">
      <c r="A1073" s="12"/>
      <c r="B1073" s="13"/>
      <c r="C1073" s="13"/>
      <c r="D1073" s="11">
        <v>45443.336325185184</v>
      </c>
    </row>
    <row r="1074">
      <c r="A1074" s="12"/>
      <c r="B1074" s="13"/>
      <c r="C1074" s="13"/>
      <c r="D1074" s="11">
        <v>45443.336325185184</v>
      </c>
    </row>
    <row r="1075">
      <c r="A1075" s="12"/>
      <c r="B1075" s="13"/>
      <c r="C1075" s="13"/>
      <c r="D1075" s="11">
        <v>45443.336325185184</v>
      </c>
    </row>
    <row r="1076">
      <c r="A1076" s="12"/>
      <c r="B1076" s="13"/>
      <c r="C1076" s="13"/>
      <c r="D1076" s="11">
        <v>45443.336325185184</v>
      </c>
    </row>
    <row r="1077">
      <c r="A1077" s="12"/>
      <c r="B1077" s="13"/>
      <c r="C1077" s="13"/>
      <c r="D1077" s="11">
        <v>45443.336325185184</v>
      </c>
    </row>
    <row r="1078">
      <c r="A1078" s="12"/>
      <c r="B1078" s="13"/>
      <c r="C1078" s="13"/>
      <c r="D1078" s="11">
        <v>45443.336325185184</v>
      </c>
    </row>
    <row r="1079">
      <c r="A1079" s="12"/>
      <c r="B1079" s="13"/>
      <c r="C1079" s="13"/>
      <c r="D1079" s="11">
        <v>45443.336325185184</v>
      </c>
    </row>
    <row r="1080">
      <c r="A1080" s="12"/>
      <c r="B1080" s="13"/>
      <c r="C1080" s="13"/>
      <c r="D1080" s="11">
        <v>45443.336325185184</v>
      </c>
    </row>
    <row r="1081">
      <c r="A1081" s="12"/>
      <c r="B1081" s="13"/>
      <c r="C1081" s="13"/>
      <c r="D1081" s="11">
        <v>45443.336325185184</v>
      </c>
    </row>
    <row r="1082">
      <c r="A1082" s="12"/>
      <c r="B1082" s="13"/>
      <c r="C1082" s="13"/>
      <c r="D1082" s="11">
        <v>45443.336325185184</v>
      </c>
    </row>
    <row r="1083">
      <c r="A1083" s="12"/>
      <c r="B1083" s="13"/>
      <c r="C1083" s="13"/>
      <c r="D1083" s="11">
        <v>45443.336325185184</v>
      </c>
    </row>
    <row r="1084">
      <c r="A1084" s="12"/>
      <c r="B1084" s="13"/>
      <c r="C1084" s="13"/>
      <c r="D1084" s="11">
        <v>45443.336325185184</v>
      </c>
    </row>
    <row r="1085">
      <c r="A1085" s="12"/>
      <c r="B1085" s="13"/>
      <c r="C1085" s="13"/>
      <c r="D1085" s="11">
        <v>45443.336325185184</v>
      </c>
    </row>
    <row r="1086">
      <c r="A1086" s="12"/>
      <c r="B1086" s="13"/>
      <c r="C1086" s="13"/>
      <c r="D1086" s="11">
        <v>45443.336325185184</v>
      </c>
    </row>
    <row r="1087">
      <c r="A1087" s="12"/>
      <c r="B1087" s="13"/>
      <c r="C1087" s="13"/>
      <c r="D1087" s="11">
        <v>45443.336325185184</v>
      </c>
    </row>
    <row r="1088">
      <c r="A1088" s="12"/>
      <c r="B1088" s="13"/>
      <c r="C1088" s="13"/>
      <c r="D1088" s="11">
        <v>45443.336325185184</v>
      </c>
    </row>
    <row r="1089">
      <c r="A1089" s="12"/>
      <c r="B1089" s="13"/>
      <c r="C1089" s="13"/>
      <c r="D1089" s="11">
        <v>45443.336325185184</v>
      </c>
    </row>
    <row r="1090">
      <c r="A1090" s="12"/>
      <c r="B1090" s="13"/>
      <c r="C1090" s="13"/>
      <c r="D1090" s="11">
        <v>45443.336325185184</v>
      </c>
    </row>
    <row r="1091">
      <c r="A1091" s="12"/>
      <c r="B1091" s="13"/>
      <c r="C1091" s="13"/>
      <c r="D1091" s="11">
        <v>45443.336325185184</v>
      </c>
    </row>
    <row r="1092">
      <c r="A1092" s="12"/>
      <c r="B1092" s="13"/>
      <c r="C1092" s="13"/>
      <c r="D1092" s="11">
        <v>45443.336325185184</v>
      </c>
    </row>
    <row r="1093">
      <c r="A1093" s="12"/>
      <c r="B1093" s="13"/>
      <c r="C1093" s="13"/>
      <c r="D1093" s="11">
        <v>45443.336325185184</v>
      </c>
    </row>
    <row r="1094">
      <c r="A1094" s="12"/>
      <c r="B1094" s="13"/>
      <c r="C1094" s="13"/>
      <c r="D1094" s="11">
        <v>45443.336325185184</v>
      </c>
    </row>
    <row r="1095">
      <c r="A1095" s="12"/>
      <c r="B1095" s="13"/>
      <c r="C1095" s="13"/>
      <c r="D1095" s="11">
        <v>45443.336325185184</v>
      </c>
    </row>
    <row r="1096">
      <c r="A1096" s="12"/>
      <c r="B1096" s="13"/>
      <c r="C1096" s="13"/>
      <c r="D1096" s="11">
        <v>45443.336325185184</v>
      </c>
    </row>
    <row r="1097">
      <c r="A1097" s="12"/>
      <c r="B1097" s="13"/>
      <c r="C1097" s="13"/>
      <c r="D1097" s="11">
        <v>45443.336325185184</v>
      </c>
    </row>
  </sheetData>
  <autoFilter ref="$A$1:$A$997"/>
  <customSheetViews>
    <customSheetView guid="{DB56FE4D-69BC-4E44-A2B9-5F7BA227A86E}" filter="1" showAutoFilter="1">
      <autoFilter ref="$A$2:$D$94">
        <sortState ref="A2:D94">
          <sortCondition ref="D2:D94"/>
          <sortCondition ref="B2:B94"/>
        </sortState>
      </autoFilter>
    </customSheetView>
    <customSheetView guid="{E969E989-0C31-444B-8C15-CA7195A654B3}" filter="1" showAutoFilter="1">
      <autoFilter ref="$G$14"/>
    </customSheetView>
  </customSheetViews>
  <mergeCells count="1">
    <mergeCell ref="E1:F1"/>
  </mergeCells>
  <conditionalFormatting sqref="D3:D77 D79:D97">
    <cfRule type="notContainsBlanks" dxfId="0" priority="1">
      <formula>LEN(TRIM(D3))&gt;0</formula>
    </cfRule>
  </conditionalFormatting>
  <dataValidations>
    <dataValidation type="list" allowBlank="1" sqref="A3:A77 A79:A97">
      <formula1>kategorie!$A$1:$A$50</formula1>
    </dataValidation>
    <dataValidation type="custom" allowBlank="1" showDropDown="1" sqref="D3:D77 D79:D95">
      <formula1>OR(NOT(ISERROR(DATEVALUE(D3))), AND(ISNUMBER(D3), LEFT(CELL("format", D3))="D"))</formula1>
    </dataValidation>
  </dataValidation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14553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100.0</v>
      </c>
      <c r="C3" s="24"/>
      <c r="D3" s="11">
        <v>45385.341478125</v>
      </c>
      <c r="E3" s="1" t="s">
        <v>34</v>
      </c>
      <c r="F3" s="8">
        <v>33948.0</v>
      </c>
      <c r="H3" s="2">
        <f>Zbiorczy!D46</f>
        <v>151444</v>
      </c>
      <c r="J3" s="3">
        <f t="shared" ref="J3:J7" si="1">SUMIF($A$3:A$98, K3, B$3:B$98)</f>
        <v>2913</v>
      </c>
      <c r="K3" s="1" t="s">
        <v>35</v>
      </c>
      <c r="M3" s="3">
        <f t="shared" ref="M3:M8" si="2">SUMIF($A$3:A$98, N3, B$3:B$98)</f>
        <v>172</v>
      </c>
      <c r="N3" s="1" t="s">
        <v>36</v>
      </c>
    </row>
    <row r="4">
      <c r="A4" s="5" t="s">
        <v>56</v>
      </c>
      <c r="B4" s="27">
        <v>400.0</v>
      </c>
      <c r="C4" s="24" t="s">
        <v>941</v>
      </c>
      <c r="D4" s="11">
        <v>45385.34205252315</v>
      </c>
      <c r="F4" s="8"/>
      <c r="J4" s="3">
        <f t="shared" si="1"/>
        <v>3385</v>
      </c>
      <c r="K4" s="1" t="s">
        <v>40</v>
      </c>
      <c r="M4" s="3">
        <f t="shared" si="2"/>
        <v>21</v>
      </c>
      <c r="N4" s="1" t="s">
        <v>41</v>
      </c>
    </row>
    <row r="5">
      <c r="A5" s="5" t="s">
        <v>41</v>
      </c>
      <c r="B5" s="27">
        <v>10.0</v>
      </c>
      <c r="C5" s="24"/>
      <c r="D5" s="11">
        <v>45385.790343263885</v>
      </c>
      <c r="J5" s="3">
        <f t="shared" si="1"/>
        <v>5879</v>
      </c>
      <c r="K5" s="1" t="s">
        <v>46</v>
      </c>
      <c r="M5" s="3">
        <f t="shared" si="2"/>
        <v>2332</v>
      </c>
      <c r="N5" s="1" t="s">
        <v>47</v>
      </c>
    </row>
    <row r="6">
      <c r="A6" s="5" t="s">
        <v>47</v>
      </c>
      <c r="B6" s="27">
        <v>2332.0</v>
      </c>
      <c r="C6" s="24"/>
      <c r="D6" s="11">
        <v>45386.24135462963</v>
      </c>
      <c r="J6" s="3">
        <f t="shared" si="1"/>
        <v>2376</v>
      </c>
      <c r="K6" s="1" t="s">
        <v>50</v>
      </c>
      <c r="M6" s="3">
        <f t="shared" si="2"/>
        <v>315</v>
      </c>
      <c r="N6" s="1" t="s">
        <v>51</v>
      </c>
    </row>
    <row r="7">
      <c r="A7" s="5" t="s">
        <v>58</v>
      </c>
      <c r="B7" s="27">
        <v>244.0</v>
      </c>
      <c r="C7" s="28" t="s">
        <v>782</v>
      </c>
      <c r="D7" s="11">
        <v>45386.242078854164</v>
      </c>
      <c r="J7" s="3">
        <f t="shared" si="1"/>
        <v>0</v>
      </c>
      <c r="K7" s="1" t="s">
        <v>55</v>
      </c>
      <c r="M7" s="3">
        <f t="shared" si="2"/>
        <v>11577</v>
      </c>
      <c r="N7" s="1" t="s">
        <v>56</v>
      </c>
    </row>
    <row r="8">
      <c r="A8" s="5" t="s">
        <v>58</v>
      </c>
      <c r="B8" s="27">
        <v>83.0</v>
      </c>
      <c r="C8" s="5" t="s">
        <v>783</v>
      </c>
      <c r="D8" s="11">
        <v>45386.24265134259</v>
      </c>
      <c r="M8" s="3">
        <f t="shared" si="2"/>
        <v>2332</v>
      </c>
      <c r="N8" s="1" t="s">
        <v>47</v>
      </c>
    </row>
    <row r="9">
      <c r="A9" s="5" t="s">
        <v>50</v>
      </c>
      <c r="B9" s="27">
        <v>1382.0</v>
      </c>
      <c r="C9" s="24"/>
      <c r="D9" s="11">
        <v>45386.25221972222</v>
      </c>
    </row>
    <row r="10">
      <c r="A10" s="5" t="s">
        <v>56</v>
      </c>
      <c r="B10" s="27">
        <v>70.0</v>
      </c>
      <c r="C10" s="24" t="s">
        <v>942</v>
      </c>
      <c r="D10" s="11">
        <v>45386.25784226852</v>
      </c>
    </row>
    <row r="11">
      <c r="A11" s="5" t="s">
        <v>42</v>
      </c>
      <c r="B11" s="27">
        <v>40.0</v>
      </c>
      <c r="C11" s="24"/>
      <c r="D11" s="11">
        <v>45386.79714633102</v>
      </c>
    </row>
    <row r="12">
      <c r="A12" s="5" t="s">
        <v>772</v>
      </c>
      <c r="B12" s="27">
        <v>25.0</v>
      </c>
      <c r="C12" s="24"/>
      <c r="D12" s="11">
        <v>45386.861850381945</v>
      </c>
    </row>
    <row r="13">
      <c r="A13" s="5" t="s">
        <v>307</v>
      </c>
      <c r="B13" s="27">
        <v>470.0</v>
      </c>
      <c r="C13" s="24"/>
      <c r="D13" s="11">
        <v>45392.26859759259</v>
      </c>
    </row>
    <row r="14">
      <c r="A14" s="5" t="s">
        <v>56</v>
      </c>
      <c r="B14" s="27">
        <v>290.0</v>
      </c>
      <c r="C14" s="24"/>
      <c r="D14" s="11">
        <v>45392.26870015047</v>
      </c>
    </row>
    <row r="15">
      <c r="A15" s="5" t="s">
        <v>50</v>
      </c>
      <c r="B15" s="27">
        <v>550.0</v>
      </c>
      <c r="C15" s="24"/>
      <c r="D15" s="11">
        <v>45392.26875322917</v>
      </c>
    </row>
    <row r="16">
      <c r="A16" s="5" t="s">
        <v>51</v>
      </c>
      <c r="B16" s="27">
        <v>315.0</v>
      </c>
      <c r="C16" s="24"/>
      <c r="D16" s="11">
        <v>45405.384395671295</v>
      </c>
    </row>
    <row r="17">
      <c r="A17" s="5" t="s">
        <v>56</v>
      </c>
      <c r="B17" s="27">
        <v>95.0</v>
      </c>
      <c r="C17" s="24" t="s">
        <v>943</v>
      </c>
      <c r="D17" s="11">
        <v>45405.43577577546</v>
      </c>
    </row>
    <row r="18">
      <c r="A18" s="5" t="s">
        <v>56</v>
      </c>
      <c r="B18" s="27">
        <v>908.0</v>
      </c>
      <c r="C18" s="24" t="s">
        <v>944</v>
      </c>
      <c r="D18" s="11">
        <v>45405.435886956024</v>
      </c>
    </row>
    <row r="19">
      <c r="A19" s="5" t="s">
        <v>56</v>
      </c>
      <c r="B19" s="27">
        <v>300.0</v>
      </c>
      <c r="C19" s="24" t="s">
        <v>945</v>
      </c>
      <c r="D19" s="11">
        <v>45405.43618584491</v>
      </c>
    </row>
    <row r="20">
      <c r="A20" s="5" t="s">
        <v>58</v>
      </c>
      <c r="B20" s="29">
        <v>107.0</v>
      </c>
      <c r="C20" s="24" t="s">
        <v>946</v>
      </c>
      <c r="D20" s="11">
        <v>45405.43907541667</v>
      </c>
    </row>
    <row r="21">
      <c r="A21" s="5" t="s">
        <v>56</v>
      </c>
      <c r="B21" s="27">
        <v>130.0</v>
      </c>
      <c r="C21" s="24" t="s">
        <v>947</v>
      </c>
      <c r="D21" s="11">
        <v>45406.61468780093</v>
      </c>
      <c r="E21" s="11"/>
      <c r="F21" s="11"/>
      <c r="G21" s="11"/>
    </row>
    <row r="22">
      <c r="A22" s="5" t="s">
        <v>50</v>
      </c>
      <c r="B22" s="27">
        <v>94.0</v>
      </c>
      <c r="C22" s="24" t="s">
        <v>780</v>
      </c>
      <c r="D22" s="11">
        <v>45406.85783547454</v>
      </c>
    </row>
    <row r="23">
      <c r="A23" s="5" t="s">
        <v>50</v>
      </c>
      <c r="B23" s="27">
        <v>350.0</v>
      </c>
      <c r="C23" s="24" t="s">
        <v>948</v>
      </c>
      <c r="D23" s="11">
        <v>45406.85799229167</v>
      </c>
    </row>
    <row r="24">
      <c r="A24" s="5" t="s">
        <v>36</v>
      </c>
      <c r="B24" s="27">
        <v>72.0</v>
      </c>
      <c r="C24" s="24"/>
      <c r="D24" s="11">
        <v>45408.31368206019</v>
      </c>
    </row>
    <row r="25">
      <c r="A25" s="5" t="s">
        <v>42</v>
      </c>
      <c r="B25" s="27">
        <v>153.0</v>
      </c>
      <c r="C25" s="24"/>
      <c r="D25" s="11">
        <v>45408.38092523148</v>
      </c>
    </row>
    <row r="26">
      <c r="A26" s="5" t="s">
        <v>40</v>
      </c>
      <c r="B26" s="27">
        <v>12.0</v>
      </c>
      <c r="C26" s="24"/>
      <c r="D26" s="11">
        <v>45409.80567262731</v>
      </c>
    </row>
    <row r="27">
      <c r="A27" s="5" t="s">
        <v>201</v>
      </c>
      <c r="B27" s="27">
        <v>2913.0</v>
      </c>
      <c r="C27" s="24"/>
      <c r="D27" s="11">
        <v>45409.805912800926</v>
      </c>
    </row>
    <row r="28">
      <c r="A28" s="5" t="s">
        <v>46</v>
      </c>
      <c r="B28" s="34">
        <v>5879.0</v>
      </c>
      <c r="C28" s="24"/>
      <c r="D28" s="11">
        <v>45409.8060991088</v>
      </c>
    </row>
    <row r="29">
      <c r="A29" s="5" t="s">
        <v>40</v>
      </c>
      <c r="B29" s="29">
        <v>3373.0</v>
      </c>
      <c r="C29" s="24"/>
      <c r="D29" s="11">
        <v>45409.80686778935</v>
      </c>
    </row>
    <row r="30">
      <c r="A30" s="5" t="s">
        <v>56</v>
      </c>
      <c r="B30" s="29">
        <v>8252.0</v>
      </c>
      <c r="C30" s="24" t="s">
        <v>949</v>
      </c>
      <c r="D30" s="11">
        <v>45409.80785881945</v>
      </c>
    </row>
    <row r="31">
      <c r="A31" s="5" t="s">
        <v>56</v>
      </c>
      <c r="B31" s="27">
        <v>180.0</v>
      </c>
      <c r="C31" s="24" t="s">
        <v>950</v>
      </c>
      <c r="D31" s="11">
        <v>45409.843060439816</v>
      </c>
    </row>
    <row r="32">
      <c r="A32" s="5" t="s">
        <v>41</v>
      </c>
      <c r="B32" s="27">
        <v>11.0</v>
      </c>
      <c r="C32" s="24"/>
      <c r="D32" s="11">
        <v>45410.77581909722</v>
      </c>
    </row>
    <row r="33">
      <c r="A33" s="5" t="s">
        <v>56</v>
      </c>
      <c r="B33" s="27">
        <v>192.0</v>
      </c>
      <c r="C33" s="24" t="s">
        <v>951</v>
      </c>
      <c r="D33" s="11">
        <v>45411.36269681713</v>
      </c>
    </row>
    <row r="34">
      <c r="A34" s="5" t="s">
        <v>56</v>
      </c>
      <c r="B34" s="31">
        <v>80.0</v>
      </c>
      <c r="C34" s="24" t="s">
        <v>952</v>
      </c>
      <c r="D34" s="11">
        <v>45411.43307388889</v>
      </c>
    </row>
    <row r="35">
      <c r="A35" s="5" t="s">
        <v>56</v>
      </c>
      <c r="B35" s="31">
        <v>680.0</v>
      </c>
      <c r="C35" s="24" t="s">
        <v>826</v>
      </c>
      <c r="D35" s="11">
        <v>45413.303217187495</v>
      </c>
    </row>
    <row r="36">
      <c r="A36" s="5" t="s">
        <v>58</v>
      </c>
      <c r="B36" s="27">
        <v>350.0</v>
      </c>
      <c r="C36" s="24"/>
      <c r="D36" s="11">
        <v>45413.494142361116</v>
      </c>
    </row>
    <row r="37">
      <c r="A37" s="5"/>
      <c r="B37" s="34"/>
      <c r="C37" s="24"/>
      <c r="D37" s="11"/>
    </row>
    <row r="38">
      <c r="A38" s="5"/>
      <c r="B38" s="27"/>
      <c r="C38" s="24"/>
      <c r="D38" s="11"/>
    </row>
    <row r="39">
      <c r="A39" s="5"/>
      <c r="B39" s="32"/>
      <c r="C39" s="24"/>
      <c r="D39" s="11"/>
    </row>
    <row r="40">
      <c r="A40" s="5"/>
      <c r="B40" s="27"/>
      <c r="C40" s="24"/>
      <c r="D40" s="11"/>
    </row>
    <row r="41">
      <c r="A41" s="5"/>
      <c r="B41" s="27"/>
      <c r="C41" s="24"/>
      <c r="D41" s="11"/>
    </row>
    <row r="42">
      <c r="A42" s="5"/>
      <c r="B42" s="27"/>
      <c r="C42" s="24"/>
      <c r="D42" s="11"/>
    </row>
    <row r="43">
      <c r="A43" s="5"/>
      <c r="B43" s="27"/>
      <c r="C43" s="24"/>
      <c r="D43" s="11"/>
    </row>
    <row r="44">
      <c r="A44" s="5"/>
      <c r="B44" s="27"/>
      <c r="C44" s="24"/>
      <c r="D44" s="11"/>
    </row>
    <row r="45">
      <c r="A45" s="5"/>
      <c r="B45" s="27"/>
      <c r="C45" s="24"/>
      <c r="D45" s="11"/>
    </row>
    <row r="46">
      <c r="A46" s="5"/>
      <c r="B46" s="27"/>
      <c r="C46" s="24"/>
      <c r="D46" s="11"/>
    </row>
    <row r="47">
      <c r="A47" s="5"/>
      <c r="B47" s="27"/>
      <c r="C47" s="24"/>
      <c r="D47" s="11"/>
    </row>
    <row r="48">
      <c r="A48" s="5"/>
      <c r="B48" s="27"/>
      <c r="C48" s="24"/>
      <c r="D48" s="11"/>
    </row>
    <row r="49">
      <c r="A49" s="5"/>
      <c r="B49" s="27"/>
      <c r="C49" s="24"/>
      <c r="D49" s="11"/>
    </row>
    <row r="50">
      <c r="A50" s="5"/>
      <c r="B50" s="27"/>
      <c r="C50" s="24"/>
      <c r="D50" s="11"/>
    </row>
    <row r="51">
      <c r="A51" s="5"/>
      <c r="B51" s="27"/>
      <c r="C51" s="24"/>
      <c r="D51" s="11"/>
    </row>
    <row r="52">
      <c r="A52" s="5"/>
      <c r="B52" s="27"/>
      <c r="C52" s="24"/>
      <c r="D52" s="11"/>
    </row>
    <row r="53">
      <c r="A53" s="5"/>
      <c r="B53" s="27"/>
      <c r="C53" s="24"/>
      <c r="D53" s="11"/>
    </row>
    <row r="54">
      <c r="A54" s="5"/>
      <c r="B54" s="27"/>
      <c r="C54" s="24"/>
      <c r="D54" s="11"/>
    </row>
    <row r="55">
      <c r="A55" s="5"/>
      <c r="B55" s="27"/>
      <c r="C55" s="24"/>
      <c r="D55" s="11"/>
    </row>
    <row r="56">
      <c r="A56" s="5"/>
      <c r="B56" s="27"/>
      <c r="C56" s="24"/>
      <c r="D56" s="11"/>
    </row>
    <row r="57">
      <c r="A57" s="5"/>
      <c r="B57" s="27"/>
      <c r="C57" s="24"/>
      <c r="D57" s="11"/>
    </row>
    <row r="58">
      <c r="A58" s="5"/>
      <c r="B58" s="27"/>
      <c r="C58" s="24"/>
      <c r="D58" s="11"/>
    </row>
    <row r="59">
      <c r="A59" s="5"/>
      <c r="B59" s="27"/>
      <c r="C59" s="24"/>
      <c r="D59" s="11"/>
    </row>
    <row r="60">
      <c r="A60" s="5"/>
      <c r="B60" s="27"/>
      <c r="C60" s="24"/>
      <c r="D60" s="11"/>
    </row>
    <row r="61">
      <c r="A61" s="5"/>
      <c r="B61" s="27"/>
      <c r="C61" s="24"/>
      <c r="D61" s="11"/>
    </row>
    <row r="62">
      <c r="A62" s="5"/>
      <c r="B62" s="24"/>
      <c r="C62" s="24"/>
      <c r="D62" s="11"/>
    </row>
    <row r="63">
      <c r="A63" s="5"/>
      <c r="B63" s="24"/>
      <c r="C63" s="24"/>
      <c r="D63" s="11"/>
    </row>
    <row r="64">
      <c r="A64" s="5"/>
      <c r="B64" s="24"/>
      <c r="C64" s="24"/>
      <c r="D64" s="11"/>
    </row>
    <row r="65">
      <c r="A65" s="5"/>
      <c r="B65" s="24"/>
      <c r="C65" s="24"/>
      <c r="D65" s="11"/>
    </row>
    <row r="66">
      <c r="A66" s="5"/>
      <c r="B66" s="24"/>
      <c r="C66" s="24"/>
      <c r="D66" s="11"/>
    </row>
    <row r="67">
      <c r="A67" s="5"/>
      <c r="B67" s="24"/>
      <c r="C67" s="24"/>
      <c r="D67" s="11"/>
    </row>
    <row r="68">
      <c r="A68" s="5"/>
      <c r="B68" s="24"/>
      <c r="C68" s="24"/>
      <c r="D68" s="11"/>
    </row>
    <row r="69">
      <c r="A69" s="5"/>
      <c r="B69" s="24"/>
      <c r="C69" s="24"/>
      <c r="D69" s="11"/>
    </row>
    <row r="70">
      <c r="A70" s="5"/>
      <c r="B70" s="24"/>
      <c r="C70" s="24"/>
      <c r="D70" s="11"/>
    </row>
    <row r="71">
      <c r="A71" s="5"/>
      <c r="B71" s="24"/>
      <c r="C71" s="24"/>
      <c r="D71" s="11"/>
    </row>
    <row r="72">
      <c r="A72" s="5"/>
      <c r="B72" s="24"/>
      <c r="C72" s="24"/>
      <c r="D72" s="11"/>
    </row>
    <row r="73">
      <c r="A73" s="5"/>
      <c r="B73" s="24"/>
      <c r="C73" s="24"/>
      <c r="D73" s="11"/>
    </row>
    <row r="74">
      <c r="A74" s="5"/>
      <c r="B74" s="24"/>
      <c r="C74" s="24"/>
      <c r="D74" s="11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3:D99">
    <cfRule type="notContainsBlanks" dxfId="0" priority="1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SUM(J3:J996)</f>
        <v>14580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900.0</v>
      </c>
      <c r="C3" s="24"/>
      <c r="D3" s="35">
        <v>45352.0</v>
      </c>
      <c r="E3" s="1" t="s">
        <v>34</v>
      </c>
      <c r="F3" s="8">
        <v>36373.0</v>
      </c>
      <c r="H3" s="2">
        <f>Zbiorczy!D45</f>
        <v>141285</v>
      </c>
      <c r="J3" s="3">
        <f t="shared" ref="J3:J7" si="1">SUMIF($A$3:A$95, K3, B$3:B$95)</f>
        <v>2900</v>
      </c>
      <c r="K3" s="1" t="s">
        <v>35</v>
      </c>
      <c r="M3" s="3">
        <f t="shared" ref="M3:M8" si="2">SUMIF($A$3:A$95, N3, B$3:B$95)</f>
        <v>1681</v>
      </c>
      <c r="N3" s="1" t="s">
        <v>36</v>
      </c>
    </row>
    <row r="4">
      <c r="A4" s="5" t="s">
        <v>50</v>
      </c>
      <c r="B4" s="27">
        <v>350.0</v>
      </c>
      <c r="C4" s="24"/>
      <c r="D4" s="11">
        <v>45352.41503496528</v>
      </c>
      <c r="F4" s="8"/>
      <c r="J4" s="3">
        <f t="shared" si="1"/>
        <v>3519</v>
      </c>
      <c r="K4" s="1" t="s">
        <v>40</v>
      </c>
      <c r="M4" s="3">
        <f t="shared" si="2"/>
        <v>26</v>
      </c>
      <c r="N4" s="1" t="s">
        <v>41</v>
      </c>
    </row>
    <row r="5">
      <c r="A5" s="5" t="s">
        <v>56</v>
      </c>
      <c r="B5" s="27">
        <v>40.0</v>
      </c>
      <c r="C5" s="24" t="s">
        <v>953</v>
      </c>
      <c r="D5" s="11">
        <v>45352.47032334491</v>
      </c>
      <c r="J5" s="3">
        <f t="shared" si="1"/>
        <v>6329</v>
      </c>
      <c r="K5" s="1" t="s">
        <v>46</v>
      </c>
      <c r="M5" s="3">
        <f t="shared" si="2"/>
        <v>2826.31</v>
      </c>
      <c r="N5" s="1" t="s">
        <v>47</v>
      </c>
    </row>
    <row r="6">
      <c r="A6" s="5" t="s">
        <v>56</v>
      </c>
      <c r="B6" s="27">
        <v>24.0</v>
      </c>
      <c r="C6" s="24" t="s">
        <v>954</v>
      </c>
      <c r="D6" s="11">
        <v>45352.523222233795</v>
      </c>
      <c r="J6" s="3">
        <f t="shared" si="1"/>
        <v>1832</v>
      </c>
      <c r="K6" s="1" t="s">
        <v>50</v>
      </c>
      <c r="M6" s="3">
        <f t="shared" si="2"/>
        <v>1193</v>
      </c>
      <c r="N6" s="1" t="s">
        <v>51</v>
      </c>
    </row>
    <row r="7">
      <c r="A7" s="5" t="s">
        <v>56</v>
      </c>
      <c r="B7" s="27">
        <v>45.0</v>
      </c>
      <c r="C7" s="28" t="s">
        <v>955</v>
      </c>
      <c r="D7" s="11">
        <v>45352.59993447916</v>
      </c>
      <c r="J7" s="3">
        <f t="shared" si="1"/>
        <v>0</v>
      </c>
      <c r="K7" s="1" t="s">
        <v>55</v>
      </c>
      <c r="M7" s="3">
        <f t="shared" si="2"/>
        <v>3565</v>
      </c>
      <c r="N7" s="1" t="s">
        <v>56</v>
      </c>
    </row>
    <row r="8">
      <c r="A8" s="5" t="s">
        <v>56</v>
      </c>
      <c r="B8" s="27">
        <v>16.0</v>
      </c>
      <c r="C8" s="5" t="s">
        <v>956</v>
      </c>
      <c r="D8" s="11">
        <v>45352.645293379624</v>
      </c>
      <c r="M8" s="3">
        <f t="shared" si="2"/>
        <v>2826.31</v>
      </c>
      <c r="N8" s="1" t="s">
        <v>47</v>
      </c>
    </row>
    <row r="9">
      <c r="A9" s="5" t="s">
        <v>307</v>
      </c>
      <c r="B9" s="27">
        <v>530.0</v>
      </c>
      <c r="C9" s="24"/>
      <c r="D9" s="11">
        <v>45353.421899849534</v>
      </c>
    </row>
    <row r="10">
      <c r="A10" s="5" t="s">
        <v>58</v>
      </c>
      <c r="B10" s="27">
        <v>290.0</v>
      </c>
      <c r="C10" s="24"/>
      <c r="D10" s="11">
        <v>45354.45148387732</v>
      </c>
    </row>
    <row r="11">
      <c r="A11" s="5" t="s">
        <v>56</v>
      </c>
      <c r="B11" s="27">
        <v>60.0</v>
      </c>
      <c r="C11" s="24" t="s">
        <v>957</v>
      </c>
      <c r="D11" s="11">
        <v>45355.3116780787</v>
      </c>
    </row>
    <row r="12">
      <c r="A12" s="5" t="s">
        <v>36</v>
      </c>
      <c r="B12" s="27">
        <v>22.0</v>
      </c>
      <c r="C12" s="24"/>
      <c r="D12" s="11">
        <v>45355.311767164356</v>
      </c>
    </row>
    <row r="13">
      <c r="A13" s="5" t="s">
        <v>56</v>
      </c>
      <c r="B13" s="27">
        <v>210.0</v>
      </c>
      <c r="C13" s="24" t="s">
        <v>958</v>
      </c>
      <c r="D13" s="11">
        <v>45355.50733403935</v>
      </c>
    </row>
    <row r="14">
      <c r="A14" s="5" t="s">
        <v>47</v>
      </c>
      <c r="B14" s="27">
        <v>2330.31</v>
      </c>
      <c r="C14" s="24" t="s">
        <v>921</v>
      </c>
      <c r="D14" s="11">
        <v>45355.78500074074</v>
      </c>
    </row>
    <row r="15">
      <c r="A15" s="5" t="s">
        <v>58</v>
      </c>
      <c r="B15" s="27">
        <v>227.55</v>
      </c>
      <c r="C15" s="24" t="s">
        <v>782</v>
      </c>
      <c r="D15" s="11">
        <v>45355.786679780096</v>
      </c>
    </row>
    <row r="16">
      <c r="A16" s="5" t="s">
        <v>58</v>
      </c>
      <c r="B16" s="27">
        <v>87.29</v>
      </c>
      <c r="C16" s="24" t="s">
        <v>783</v>
      </c>
      <c r="D16" s="11">
        <v>45355.78676101852</v>
      </c>
    </row>
    <row r="17">
      <c r="A17" s="5" t="s">
        <v>42</v>
      </c>
      <c r="B17" s="27">
        <v>120.0</v>
      </c>
      <c r="C17" s="24"/>
      <c r="D17" s="11">
        <v>45355.81520149305</v>
      </c>
    </row>
    <row r="18">
      <c r="A18" s="5" t="s">
        <v>148</v>
      </c>
      <c r="B18" s="27">
        <v>90.0</v>
      </c>
      <c r="C18" s="24" t="s">
        <v>959</v>
      </c>
      <c r="D18" s="11">
        <v>45356.770939803246</v>
      </c>
    </row>
    <row r="19">
      <c r="A19" s="5" t="s">
        <v>56</v>
      </c>
      <c r="B19" s="27">
        <v>45.0</v>
      </c>
      <c r="C19" s="24" t="s">
        <v>960</v>
      </c>
      <c r="D19" s="11">
        <v>45356.78186512731</v>
      </c>
    </row>
    <row r="20">
      <c r="A20" s="5" t="s">
        <v>56</v>
      </c>
      <c r="B20" s="29">
        <v>45.0</v>
      </c>
      <c r="C20" s="24" t="s">
        <v>961</v>
      </c>
      <c r="D20" s="11">
        <v>45356.800130613425</v>
      </c>
    </row>
    <row r="21">
      <c r="A21" s="5" t="s">
        <v>50</v>
      </c>
      <c r="B21" s="27">
        <v>1382.0</v>
      </c>
      <c r="C21" s="24"/>
      <c r="D21" s="11">
        <v>45356.861045937505</v>
      </c>
      <c r="E21" s="11"/>
      <c r="F21" s="11"/>
      <c r="G21" s="11"/>
    </row>
    <row r="22">
      <c r="A22" s="5" t="s">
        <v>47</v>
      </c>
      <c r="B22" s="27">
        <v>246.0</v>
      </c>
      <c r="C22" s="24" t="s">
        <v>962</v>
      </c>
      <c r="D22" s="11">
        <v>45357.7643080787</v>
      </c>
    </row>
    <row r="23">
      <c r="A23" s="5" t="s">
        <v>56</v>
      </c>
      <c r="B23" s="27">
        <v>125.0</v>
      </c>
      <c r="C23" s="24" t="s">
        <v>963</v>
      </c>
      <c r="D23" s="11">
        <v>45357.89383074074</v>
      </c>
    </row>
    <row r="24">
      <c r="A24" s="5" t="s">
        <v>50</v>
      </c>
      <c r="B24" s="27">
        <v>100.0</v>
      </c>
      <c r="C24" s="24" t="s">
        <v>964</v>
      </c>
      <c r="D24" s="11">
        <v>45358.77064106481</v>
      </c>
    </row>
    <row r="25">
      <c r="A25" s="5" t="s">
        <v>41</v>
      </c>
      <c r="B25" s="27">
        <v>16.0</v>
      </c>
      <c r="C25" s="24" t="s">
        <v>965</v>
      </c>
      <c r="D25" s="11">
        <v>45358.77072048611</v>
      </c>
    </row>
    <row r="26">
      <c r="A26" s="5" t="s">
        <v>307</v>
      </c>
      <c r="B26" s="27">
        <v>128.0</v>
      </c>
      <c r="C26" s="24"/>
      <c r="D26" s="11">
        <v>45358.8748931713</v>
      </c>
    </row>
    <row r="27">
      <c r="A27" s="5" t="s">
        <v>36</v>
      </c>
      <c r="B27" s="27">
        <v>75.0</v>
      </c>
      <c r="C27" s="24"/>
      <c r="D27" s="11">
        <v>45359.31562033565</v>
      </c>
    </row>
    <row r="28">
      <c r="A28" s="5" t="s">
        <v>51</v>
      </c>
      <c r="B28" s="27">
        <v>257.0</v>
      </c>
      <c r="C28" s="24"/>
      <c r="D28" s="11">
        <v>45359.79762716436</v>
      </c>
    </row>
    <row r="29">
      <c r="A29" s="5" t="s">
        <v>56</v>
      </c>
      <c r="B29" s="29">
        <v>350.0</v>
      </c>
      <c r="C29" s="24" t="s">
        <v>966</v>
      </c>
      <c r="D29" s="11">
        <v>45359.797773252314</v>
      </c>
    </row>
    <row r="30">
      <c r="A30" s="5" t="s">
        <v>51</v>
      </c>
      <c r="B30" s="29">
        <v>186.0</v>
      </c>
      <c r="C30" s="24"/>
      <c r="D30" s="11">
        <v>45360.38522928241</v>
      </c>
    </row>
    <row r="31">
      <c r="A31" s="5" t="s">
        <v>36</v>
      </c>
      <c r="B31" s="27">
        <v>26.0</v>
      </c>
      <c r="C31" s="24"/>
      <c r="D31" s="11">
        <v>45362.356622719904</v>
      </c>
    </row>
    <row r="32">
      <c r="A32" s="5" t="s">
        <v>47</v>
      </c>
      <c r="B32" s="27">
        <v>250.0</v>
      </c>
      <c r="C32" s="24" t="s">
        <v>967</v>
      </c>
      <c r="D32" s="11">
        <v>45362.47231819444</v>
      </c>
    </row>
    <row r="33">
      <c r="A33" s="5" t="s">
        <v>36</v>
      </c>
      <c r="B33" s="27">
        <v>30.0</v>
      </c>
      <c r="C33" s="24"/>
      <c r="D33" s="11">
        <v>45363.93099956018</v>
      </c>
    </row>
    <row r="34">
      <c r="A34" s="5" t="s">
        <v>772</v>
      </c>
      <c r="B34" s="31">
        <v>50.0</v>
      </c>
      <c r="C34" s="24"/>
      <c r="D34" s="11">
        <v>45363.93105304398</v>
      </c>
    </row>
    <row r="35">
      <c r="A35" s="5" t="s">
        <v>148</v>
      </c>
      <c r="B35" s="31">
        <v>140.0</v>
      </c>
      <c r="C35" s="24" t="s">
        <v>968</v>
      </c>
      <c r="D35" s="11">
        <v>45364.835340879625</v>
      </c>
    </row>
    <row r="36">
      <c r="A36" s="5" t="s">
        <v>36</v>
      </c>
      <c r="B36" s="27">
        <v>53.0</v>
      </c>
      <c r="C36" s="24"/>
      <c r="D36" s="11">
        <v>45365.32366358796</v>
      </c>
    </row>
    <row r="37">
      <c r="A37" s="5" t="s">
        <v>201</v>
      </c>
      <c r="B37" s="34">
        <v>2900.0</v>
      </c>
      <c r="C37" s="24"/>
      <c r="D37" s="11">
        <v>45365.575338877316</v>
      </c>
    </row>
    <row r="38">
      <c r="A38" s="5" t="s">
        <v>56</v>
      </c>
      <c r="B38" s="27">
        <v>350.0</v>
      </c>
      <c r="C38" s="24" t="s">
        <v>969</v>
      </c>
      <c r="D38" s="11">
        <v>45366.580279421294</v>
      </c>
    </row>
    <row r="39">
      <c r="A39" s="5" t="s">
        <v>40</v>
      </c>
      <c r="B39" s="32">
        <v>3519.0</v>
      </c>
      <c r="C39" s="24"/>
      <c r="D39" s="11">
        <v>45366.80608326389</v>
      </c>
    </row>
    <row r="40">
      <c r="A40" s="5" t="s">
        <v>46</v>
      </c>
      <c r="B40" s="27">
        <v>6329.0</v>
      </c>
      <c r="C40" s="24"/>
      <c r="D40" s="11">
        <v>45366.806226030094</v>
      </c>
    </row>
    <row r="41">
      <c r="A41" s="5" t="s">
        <v>56</v>
      </c>
      <c r="B41" s="27">
        <v>50.0</v>
      </c>
      <c r="C41" s="24" t="s">
        <v>970</v>
      </c>
      <c r="D41" s="11">
        <v>45368.59346672454</v>
      </c>
    </row>
    <row r="42">
      <c r="A42" s="5" t="s">
        <v>56</v>
      </c>
      <c r="B42" s="27">
        <v>100.0</v>
      </c>
      <c r="C42" s="24" t="s">
        <v>971</v>
      </c>
      <c r="D42" s="11">
        <v>45368.59357398148</v>
      </c>
    </row>
    <row r="43">
      <c r="A43" s="5" t="s">
        <v>36</v>
      </c>
      <c r="B43" s="27">
        <v>30.0</v>
      </c>
      <c r="C43" s="24"/>
      <c r="D43" s="11">
        <v>45369.31193931713</v>
      </c>
    </row>
    <row r="44">
      <c r="A44" s="5" t="s">
        <v>307</v>
      </c>
      <c r="B44" s="27">
        <v>100.0</v>
      </c>
      <c r="C44" s="24" t="s">
        <v>813</v>
      </c>
      <c r="D44" s="11">
        <v>45371.432857395834</v>
      </c>
    </row>
    <row r="45">
      <c r="A45" s="5" t="s">
        <v>56</v>
      </c>
      <c r="B45" s="27">
        <v>80.0</v>
      </c>
      <c r="C45" s="24"/>
      <c r="D45" s="11">
        <v>45371.43325527778</v>
      </c>
    </row>
    <row r="46">
      <c r="A46" s="5" t="s">
        <v>73</v>
      </c>
      <c r="B46" s="27">
        <v>150.0</v>
      </c>
      <c r="C46" s="24"/>
      <c r="D46" s="11">
        <v>45373.2921053125</v>
      </c>
    </row>
    <row r="47">
      <c r="A47" s="5" t="s">
        <v>51</v>
      </c>
      <c r="B47" s="27">
        <v>270.0</v>
      </c>
      <c r="C47" s="24"/>
      <c r="D47" s="11">
        <v>45373.29228987268</v>
      </c>
    </row>
    <row r="48">
      <c r="A48" s="5" t="s">
        <v>37</v>
      </c>
      <c r="B48" s="27">
        <v>40.0</v>
      </c>
      <c r="C48" s="24"/>
      <c r="D48" s="11">
        <v>45373.29235934028</v>
      </c>
    </row>
    <row r="49">
      <c r="A49" s="5" t="s">
        <v>36</v>
      </c>
      <c r="B49" s="27">
        <v>15.0</v>
      </c>
      <c r="C49" s="24"/>
      <c r="D49" s="11">
        <v>45373.292525937504</v>
      </c>
    </row>
    <row r="50">
      <c r="A50" s="5" t="s">
        <v>772</v>
      </c>
      <c r="B50" s="27">
        <v>32.0</v>
      </c>
      <c r="C50" s="24"/>
      <c r="D50" s="11">
        <v>45376.209089930555</v>
      </c>
    </row>
    <row r="51">
      <c r="A51" s="5" t="s">
        <v>36</v>
      </c>
      <c r="B51" s="27">
        <v>100.0</v>
      </c>
      <c r="C51" s="24"/>
      <c r="D51" s="11">
        <v>45376.209177337965</v>
      </c>
    </row>
    <row r="52">
      <c r="A52" s="5" t="s">
        <v>51</v>
      </c>
      <c r="B52" s="27">
        <v>260.0</v>
      </c>
      <c r="C52" s="24"/>
      <c r="D52" s="11">
        <v>45381.40246715277</v>
      </c>
    </row>
    <row r="53">
      <c r="A53" s="5" t="s">
        <v>56</v>
      </c>
      <c r="B53" s="27">
        <v>260.0</v>
      </c>
      <c r="C53" s="24" t="s">
        <v>972</v>
      </c>
      <c r="D53" s="11">
        <v>45381.40257130787</v>
      </c>
    </row>
    <row r="54">
      <c r="A54" s="5" t="s">
        <v>973</v>
      </c>
      <c r="B54" s="27">
        <v>60.0</v>
      </c>
      <c r="C54" s="24" t="s">
        <v>974</v>
      </c>
      <c r="D54" s="11">
        <v>45381.65465302083</v>
      </c>
    </row>
    <row r="55">
      <c r="A55" s="5" t="s">
        <v>36</v>
      </c>
      <c r="B55" s="27">
        <v>290.0</v>
      </c>
      <c r="C55" s="24"/>
      <c r="D55" s="11">
        <v>45381.654817013885</v>
      </c>
    </row>
    <row r="56">
      <c r="A56" s="5" t="s">
        <v>51</v>
      </c>
      <c r="B56" s="27">
        <v>220.0</v>
      </c>
      <c r="C56" s="24"/>
      <c r="D56" s="11">
        <v>45381.654872858795</v>
      </c>
    </row>
    <row r="57">
      <c r="A57" s="5" t="s">
        <v>56</v>
      </c>
      <c r="B57" s="27">
        <v>1000.0</v>
      </c>
      <c r="C57" s="24" t="s">
        <v>975</v>
      </c>
      <c r="D57" s="11">
        <v>45381.65502799768</v>
      </c>
    </row>
    <row r="58">
      <c r="A58" s="5" t="s">
        <v>58</v>
      </c>
      <c r="B58" s="27">
        <v>348.0</v>
      </c>
      <c r="C58" s="24"/>
      <c r="D58" s="11">
        <v>45385.34256138889</v>
      </c>
    </row>
    <row r="59">
      <c r="A59" s="5" t="s">
        <v>56</v>
      </c>
      <c r="B59" s="27">
        <v>200.0</v>
      </c>
      <c r="C59" s="24" t="s">
        <v>811</v>
      </c>
      <c r="D59" s="11">
        <v>45385.34270896991</v>
      </c>
    </row>
    <row r="60">
      <c r="A60" s="5" t="s">
        <v>56</v>
      </c>
      <c r="B60" s="27">
        <v>58.0</v>
      </c>
      <c r="C60" s="24" t="s">
        <v>976</v>
      </c>
      <c r="D60" s="11">
        <v>45385.34292568287</v>
      </c>
    </row>
    <row r="61">
      <c r="A61" s="5" t="s">
        <v>56</v>
      </c>
      <c r="B61" s="27">
        <v>100.0</v>
      </c>
      <c r="C61" s="24" t="s">
        <v>789</v>
      </c>
      <c r="D61" s="11">
        <v>45385.34456564815</v>
      </c>
    </row>
    <row r="62">
      <c r="A62" s="5" t="s">
        <v>56</v>
      </c>
      <c r="B62" s="24">
        <v>350.0</v>
      </c>
      <c r="C62" s="24" t="s">
        <v>777</v>
      </c>
      <c r="D62" s="11">
        <v>45385.34471612269</v>
      </c>
    </row>
    <row r="63">
      <c r="A63" s="5" t="s">
        <v>56</v>
      </c>
      <c r="B63" s="24">
        <v>35.0</v>
      </c>
      <c r="C63" s="24" t="s">
        <v>977</v>
      </c>
      <c r="D63" s="11">
        <v>45385.34493520833</v>
      </c>
    </row>
    <row r="64">
      <c r="A64" s="5" t="s">
        <v>56</v>
      </c>
      <c r="B64" s="24">
        <v>22.0</v>
      </c>
      <c r="C64" s="24" t="s">
        <v>978</v>
      </c>
      <c r="D64" s="11">
        <v>45385.34523716435</v>
      </c>
    </row>
    <row r="65">
      <c r="A65" s="5" t="s">
        <v>41</v>
      </c>
      <c r="B65" s="24">
        <v>10.0</v>
      </c>
      <c r="C65" s="24"/>
      <c r="D65" s="11">
        <v>45385.34536946759</v>
      </c>
    </row>
    <row r="66">
      <c r="A66" s="5" t="s">
        <v>36</v>
      </c>
      <c r="B66" s="24">
        <v>10.0</v>
      </c>
      <c r="C66" s="24"/>
      <c r="D66" s="11">
        <v>45385.34597681713</v>
      </c>
    </row>
    <row r="67">
      <c r="A67" s="5" t="s">
        <v>36</v>
      </c>
      <c r="B67" s="24">
        <v>70.0</v>
      </c>
      <c r="C67" s="24"/>
      <c r="D67" s="11">
        <v>45385.346411273145</v>
      </c>
    </row>
    <row r="68">
      <c r="A68" s="5" t="s">
        <v>42</v>
      </c>
      <c r="B68" s="24">
        <v>9.85</v>
      </c>
      <c r="C68" s="24"/>
      <c r="D68" s="11">
        <v>45385.34688875</v>
      </c>
    </row>
    <row r="69">
      <c r="A69" s="5"/>
      <c r="B69" s="24"/>
      <c r="C69" s="24"/>
      <c r="D69" s="11"/>
    </row>
    <row r="70">
      <c r="A70" s="5"/>
      <c r="B70" s="24"/>
      <c r="C70" s="24"/>
      <c r="D70" s="11"/>
    </row>
    <row r="71">
      <c r="A71" s="5"/>
      <c r="B71" s="24"/>
      <c r="C71" s="24"/>
      <c r="D71" s="11"/>
    </row>
    <row r="72">
      <c r="A72" s="5"/>
      <c r="B72" s="24"/>
      <c r="C72" s="24"/>
      <c r="D72" s="33"/>
    </row>
    <row r="73">
      <c r="A73" s="5"/>
      <c r="B73" s="24"/>
      <c r="C73" s="24"/>
      <c r="D73" s="25"/>
    </row>
    <row r="74">
      <c r="A74" s="5"/>
      <c r="B74" s="24"/>
      <c r="C74" s="24"/>
      <c r="D74" s="25"/>
    </row>
    <row r="75">
      <c r="A75" s="5"/>
      <c r="B75" s="24"/>
      <c r="C75" s="24"/>
      <c r="D75" s="25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13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24"/>
      <c r="D89" s="25"/>
    </row>
    <row r="90">
      <c r="A90" s="5"/>
      <c r="B90" s="24"/>
      <c r="C90" s="13"/>
      <c r="D90" s="25"/>
    </row>
    <row r="91">
      <c r="A91" s="5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13"/>
      <c r="C94" s="13"/>
      <c r="D94" s="25"/>
    </row>
    <row r="95">
      <c r="A95" s="12"/>
      <c r="B95" s="13"/>
      <c r="C95" s="13"/>
      <c r="D95" s="25"/>
    </row>
    <row r="96">
      <c r="A96" s="12"/>
      <c r="B96" s="13"/>
      <c r="C96" s="13"/>
      <c r="D96" s="25"/>
    </row>
    <row r="97">
      <c r="A97" s="12"/>
      <c r="B97" s="13"/>
      <c r="C97" s="13"/>
    </row>
    <row r="98">
      <c r="A98" s="12"/>
      <c r="B98" s="13"/>
      <c r="C98" s="13"/>
    </row>
    <row r="99">
      <c r="A99" s="12"/>
      <c r="B99" s="13"/>
      <c r="C99" s="13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3">
        <sortState ref="A2:D93">
          <sortCondition ref="D2:D93"/>
          <sortCondition ref="B2:B93"/>
        </sortState>
      </autoFilter>
    </customSheetView>
  </customSheetViews>
  <mergeCells count="2">
    <mergeCell ref="A1:B1"/>
    <mergeCell ref="E1:F1"/>
  </mergeCells>
  <conditionalFormatting sqref="D3:D96">
    <cfRule type="notContainsBlanks" dxfId="0" priority="1">
      <formula>LEN(TRIM(D3))&gt;0</formula>
    </cfRule>
  </conditionalFormatting>
  <dataValidations>
    <dataValidation type="list" allowBlank="1" sqref="A3:A96">
      <formula1>kategorie!$A$1:$A$50</formula1>
    </dataValidation>
    <dataValidation type="custom" allowBlank="1" showDropDown="1" sqref="D3:D94">
      <formula1>OR(NOT(ISERROR(DATEVALUE(D3))), AND(ISNUMBER(D3), LEFT(CELL("format", D3))="D"))</formula1>
    </dataValidation>
  </dataValidation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B1" s="5"/>
      <c r="C1" s="5"/>
      <c r="E1" s="1" t="s">
        <v>27</v>
      </c>
      <c r="H1" s="1" t="s">
        <v>28</v>
      </c>
      <c r="J1" s="1" t="s">
        <v>29</v>
      </c>
      <c r="K1" s="6">
        <f>SUM(J3:J998)</f>
        <v>17234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56</v>
      </c>
      <c r="B3" s="27">
        <v>252.0</v>
      </c>
      <c r="C3" s="24" t="s">
        <v>979</v>
      </c>
      <c r="D3" s="11">
        <v>45320.88389189815</v>
      </c>
      <c r="E3" s="1" t="s">
        <v>34</v>
      </c>
      <c r="F3" s="8">
        <v>40185.0</v>
      </c>
      <c r="H3" s="2">
        <f>Zbiorczy!D44</f>
        <v>135439</v>
      </c>
      <c r="J3" s="3">
        <f t="shared" ref="J3:J7" si="1">SUMIF($A$3:A$97, K3, B$3:B$97)</f>
        <v>2800</v>
      </c>
      <c r="K3" s="1" t="s">
        <v>35</v>
      </c>
      <c r="M3" s="3">
        <f t="shared" ref="M3:M8" si="2">SUMIF($A$3:A$97, N3, B$3:B$97)</f>
        <v>1624</v>
      </c>
      <c r="N3" s="1" t="s">
        <v>36</v>
      </c>
    </row>
    <row r="4">
      <c r="A4" s="5" t="s">
        <v>56</v>
      </c>
      <c r="B4" s="27">
        <v>1221.0</v>
      </c>
      <c r="C4" s="24" t="s">
        <v>980</v>
      </c>
      <c r="D4" s="11">
        <v>45320.884016550925</v>
      </c>
      <c r="F4" s="8"/>
      <c r="J4" s="3">
        <f t="shared" si="1"/>
        <v>4448</v>
      </c>
      <c r="K4" s="1" t="s">
        <v>40</v>
      </c>
      <c r="M4" s="3">
        <f t="shared" si="2"/>
        <v>82</v>
      </c>
      <c r="N4" s="1" t="s">
        <v>41</v>
      </c>
    </row>
    <row r="5">
      <c r="A5" s="5" t="s">
        <v>58</v>
      </c>
      <c r="B5" s="27">
        <v>300.0</v>
      </c>
      <c r="C5" s="24" t="s">
        <v>981</v>
      </c>
      <c r="D5" s="11">
        <v>45321.61808490741</v>
      </c>
      <c r="J5" s="3">
        <f t="shared" si="1"/>
        <v>7656</v>
      </c>
      <c r="K5" s="1" t="s">
        <v>46</v>
      </c>
      <c r="M5" s="3">
        <f t="shared" si="2"/>
        <v>1710</v>
      </c>
      <c r="N5" s="1" t="s">
        <v>47</v>
      </c>
    </row>
    <row r="6">
      <c r="A6" s="5" t="s">
        <v>56</v>
      </c>
      <c r="B6" s="27">
        <v>17.0</v>
      </c>
      <c r="C6" s="24" t="s">
        <v>982</v>
      </c>
      <c r="D6" s="11">
        <v>45322.65160773148</v>
      </c>
      <c r="J6" s="3">
        <f t="shared" si="1"/>
        <v>1830</v>
      </c>
      <c r="K6" s="1" t="s">
        <v>50</v>
      </c>
      <c r="M6" s="3">
        <f t="shared" si="2"/>
        <v>846</v>
      </c>
      <c r="N6" s="1" t="s">
        <v>51</v>
      </c>
    </row>
    <row r="7">
      <c r="A7" s="5" t="s">
        <v>36</v>
      </c>
      <c r="B7" s="27">
        <v>1000.0</v>
      </c>
      <c r="C7" s="28" t="s">
        <v>983</v>
      </c>
      <c r="D7" s="11">
        <v>45323.27555482639</v>
      </c>
      <c r="J7" s="3">
        <f t="shared" si="1"/>
        <v>500</v>
      </c>
      <c r="K7" s="1" t="s">
        <v>55</v>
      </c>
      <c r="M7" s="3">
        <f t="shared" si="2"/>
        <v>10034</v>
      </c>
      <c r="N7" s="1" t="s">
        <v>56</v>
      </c>
    </row>
    <row r="8">
      <c r="A8" s="5" t="s">
        <v>56</v>
      </c>
      <c r="B8" s="27">
        <v>400.0</v>
      </c>
      <c r="C8" s="5" t="s">
        <v>824</v>
      </c>
      <c r="D8" s="11">
        <v>45323.40327350695</v>
      </c>
      <c r="M8" s="3">
        <f t="shared" si="2"/>
        <v>1710</v>
      </c>
      <c r="N8" s="1" t="s">
        <v>47</v>
      </c>
    </row>
    <row r="9">
      <c r="A9" s="5" t="s">
        <v>56</v>
      </c>
      <c r="B9" s="27">
        <v>300.0</v>
      </c>
      <c r="C9" s="24" t="s">
        <v>984</v>
      </c>
      <c r="D9" s="11">
        <v>45325.513651076384</v>
      </c>
    </row>
    <row r="10">
      <c r="A10" s="5" t="s">
        <v>51</v>
      </c>
      <c r="B10" s="27">
        <v>270.0</v>
      </c>
      <c r="C10" s="24"/>
      <c r="D10" s="11">
        <v>45325.51414690972</v>
      </c>
    </row>
    <row r="11">
      <c r="A11" s="5" t="s">
        <v>51</v>
      </c>
      <c r="B11" s="27">
        <v>197.0</v>
      </c>
      <c r="C11" s="24"/>
      <c r="D11" s="11">
        <v>45325.51429892361</v>
      </c>
    </row>
    <row r="12">
      <c r="A12" s="5" t="s">
        <v>37</v>
      </c>
      <c r="B12" s="27">
        <v>60.0</v>
      </c>
      <c r="C12" s="24" t="s">
        <v>985</v>
      </c>
      <c r="D12" s="11">
        <v>45325.51492365741</v>
      </c>
    </row>
    <row r="13">
      <c r="A13" s="5" t="s">
        <v>307</v>
      </c>
      <c r="B13" s="27">
        <v>380.0</v>
      </c>
      <c r="C13" s="24"/>
      <c r="D13" s="11">
        <v>45325.51526017361</v>
      </c>
    </row>
    <row r="14">
      <c r="A14" s="5" t="s">
        <v>56</v>
      </c>
      <c r="B14" s="27">
        <v>30.0</v>
      </c>
      <c r="C14" s="24" t="s">
        <v>986</v>
      </c>
      <c r="D14" s="11">
        <v>45325.51546231481</v>
      </c>
    </row>
    <row r="15">
      <c r="A15" s="5" t="s">
        <v>36</v>
      </c>
      <c r="B15" s="27">
        <v>17.0</v>
      </c>
      <c r="C15" s="24" t="s">
        <v>987</v>
      </c>
      <c r="D15" s="11">
        <v>45325.515825208335</v>
      </c>
    </row>
    <row r="16">
      <c r="A16" s="5" t="s">
        <v>41</v>
      </c>
      <c r="B16" s="27">
        <v>7.0</v>
      </c>
      <c r="C16" s="24"/>
      <c r="D16" s="11">
        <v>45325.516668275464</v>
      </c>
    </row>
    <row r="17">
      <c r="A17" s="5" t="s">
        <v>56</v>
      </c>
      <c r="B17" s="27">
        <v>40.0</v>
      </c>
      <c r="C17" s="24" t="s">
        <v>988</v>
      </c>
      <c r="D17" s="11">
        <v>45325.51691146991</v>
      </c>
    </row>
    <row r="18">
      <c r="A18" s="5" t="s">
        <v>37</v>
      </c>
      <c r="B18" s="27">
        <v>50.0</v>
      </c>
      <c r="C18" s="24" t="s">
        <v>989</v>
      </c>
      <c r="D18" s="11">
        <v>45325.51719136574</v>
      </c>
    </row>
    <row r="19">
      <c r="A19" s="5" t="s">
        <v>56</v>
      </c>
      <c r="B19" s="27">
        <v>35.0</v>
      </c>
      <c r="C19" s="24" t="s">
        <v>990</v>
      </c>
      <c r="D19" s="11">
        <v>45325.5175553588</v>
      </c>
    </row>
    <row r="20">
      <c r="A20" s="5" t="s">
        <v>47</v>
      </c>
      <c r="B20" s="29">
        <v>1700.0</v>
      </c>
      <c r="C20" s="24" t="s">
        <v>991</v>
      </c>
      <c r="D20" s="11">
        <v>45325.60759133102</v>
      </c>
    </row>
    <row r="21">
      <c r="A21" s="5" t="s">
        <v>56</v>
      </c>
      <c r="B21" s="27">
        <v>575.0</v>
      </c>
      <c r="C21" s="24" t="s">
        <v>992</v>
      </c>
      <c r="D21" s="11">
        <v>45326.57236465278</v>
      </c>
      <c r="E21" s="11"/>
      <c r="F21" s="11"/>
      <c r="G21" s="11"/>
    </row>
    <row r="22">
      <c r="A22" s="5" t="s">
        <v>56</v>
      </c>
      <c r="B22" s="27">
        <v>80.0</v>
      </c>
      <c r="C22" s="24" t="s">
        <v>993</v>
      </c>
      <c r="D22" s="11">
        <v>45326.5724965625</v>
      </c>
    </row>
    <row r="23">
      <c r="A23" s="5" t="s">
        <v>50</v>
      </c>
      <c r="B23" s="27">
        <v>1380.0</v>
      </c>
      <c r="C23" s="24"/>
      <c r="D23" s="11">
        <v>45326.787617615744</v>
      </c>
    </row>
    <row r="24">
      <c r="A24" s="5" t="s">
        <v>56</v>
      </c>
      <c r="B24" s="27">
        <v>281.0</v>
      </c>
      <c r="C24" s="24" t="s">
        <v>994</v>
      </c>
      <c r="D24" s="11">
        <v>45326.83610392361</v>
      </c>
    </row>
    <row r="25">
      <c r="A25" s="5" t="s">
        <v>47</v>
      </c>
      <c r="B25" s="27" t="s">
        <v>995</v>
      </c>
      <c r="C25" s="24"/>
      <c r="D25" s="11">
        <v>45326.86260782408</v>
      </c>
    </row>
    <row r="26">
      <c r="A26" s="5" t="s">
        <v>58</v>
      </c>
      <c r="B26" s="27">
        <v>228.0</v>
      </c>
      <c r="C26" s="24" t="s">
        <v>782</v>
      </c>
      <c r="D26" s="11">
        <v>45326.86546223379</v>
      </c>
    </row>
    <row r="27">
      <c r="A27" s="5" t="s">
        <v>58</v>
      </c>
      <c r="B27" s="27">
        <v>83.0</v>
      </c>
      <c r="C27" s="24" t="s">
        <v>783</v>
      </c>
      <c r="D27" s="11">
        <v>45326.86624181713</v>
      </c>
    </row>
    <row r="28">
      <c r="A28" s="5" t="s">
        <v>51</v>
      </c>
      <c r="B28" s="27">
        <v>149.0</v>
      </c>
      <c r="C28" s="24"/>
      <c r="D28" s="11">
        <v>45326.86719887731</v>
      </c>
    </row>
    <row r="29">
      <c r="A29" s="5" t="s">
        <v>50</v>
      </c>
      <c r="B29" s="29">
        <v>350.0</v>
      </c>
      <c r="C29" s="24"/>
      <c r="D29" s="11">
        <v>45327.466506516204</v>
      </c>
    </row>
    <row r="30">
      <c r="A30" s="5" t="s">
        <v>148</v>
      </c>
      <c r="B30" s="29">
        <v>15.0</v>
      </c>
      <c r="C30" s="24"/>
      <c r="D30" s="11">
        <v>45328.35970025463</v>
      </c>
    </row>
    <row r="31">
      <c r="A31" s="5" t="s">
        <v>56</v>
      </c>
      <c r="B31" s="27">
        <v>44.0</v>
      </c>
      <c r="C31" s="24" t="s">
        <v>996</v>
      </c>
      <c r="D31" s="11">
        <v>45328.70174862268</v>
      </c>
    </row>
    <row r="32">
      <c r="A32" s="5" t="s">
        <v>73</v>
      </c>
      <c r="B32" s="27">
        <v>165.0</v>
      </c>
      <c r="C32" s="24" t="s">
        <v>797</v>
      </c>
      <c r="D32" s="11">
        <v>45329.30848651621</v>
      </c>
    </row>
    <row r="33">
      <c r="A33" s="5" t="s">
        <v>56</v>
      </c>
      <c r="B33" s="27">
        <v>350.0</v>
      </c>
      <c r="C33" s="24" t="s">
        <v>997</v>
      </c>
      <c r="D33" s="11">
        <v>45329.4403312037</v>
      </c>
    </row>
    <row r="34">
      <c r="A34" s="5" t="s">
        <v>56</v>
      </c>
      <c r="B34" s="31">
        <v>81.0</v>
      </c>
      <c r="C34" s="24" t="s">
        <v>998</v>
      </c>
      <c r="D34" s="11">
        <v>45330.552090937505</v>
      </c>
    </row>
    <row r="35">
      <c r="A35" s="5" t="s">
        <v>56</v>
      </c>
      <c r="B35" s="31">
        <v>163.0</v>
      </c>
      <c r="C35" s="24" t="s">
        <v>999</v>
      </c>
      <c r="D35" s="11">
        <v>45330.55275224537</v>
      </c>
    </row>
    <row r="36">
      <c r="A36" s="5" t="s">
        <v>56</v>
      </c>
      <c r="B36" s="27">
        <v>184.0</v>
      </c>
      <c r="C36" s="24" t="s">
        <v>1000</v>
      </c>
      <c r="D36" s="11">
        <v>45330.55308378472</v>
      </c>
    </row>
    <row r="37">
      <c r="A37" s="5" t="s">
        <v>36</v>
      </c>
      <c r="B37" s="34">
        <v>37.0</v>
      </c>
      <c r="C37" s="24"/>
      <c r="D37" s="11">
        <v>45331.36975385417</v>
      </c>
    </row>
    <row r="38">
      <c r="A38" s="5" t="s">
        <v>50</v>
      </c>
      <c r="B38" s="27">
        <v>100.0</v>
      </c>
      <c r="C38" s="24" t="s">
        <v>1001</v>
      </c>
      <c r="D38" s="11">
        <v>45331.9093720949</v>
      </c>
    </row>
    <row r="39">
      <c r="A39" s="5" t="s">
        <v>42</v>
      </c>
      <c r="B39" s="32">
        <v>200.0</v>
      </c>
      <c r="C39" s="24" t="s">
        <v>1002</v>
      </c>
      <c r="D39" s="11">
        <v>45332.95599814814</v>
      </c>
    </row>
    <row r="40">
      <c r="A40" s="5" t="s">
        <v>56</v>
      </c>
      <c r="B40" s="27">
        <v>34.0</v>
      </c>
      <c r="C40" s="24" t="s">
        <v>1003</v>
      </c>
      <c r="D40" s="11">
        <v>45332.956319375</v>
      </c>
    </row>
    <row r="41">
      <c r="A41" s="5" t="s">
        <v>56</v>
      </c>
      <c r="B41" s="27">
        <v>15.0</v>
      </c>
      <c r="C41" s="24" t="s">
        <v>1004</v>
      </c>
      <c r="D41" s="11">
        <v>45332.95642217592</v>
      </c>
    </row>
    <row r="42">
      <c r="A42" s="5" t="s">
        <v>56</v>
      </c>
      <c r="B42" s="27">
        <v>19.0</v>
      </c>
      <c r="C42" s="24" t="s">
        <v>1005</v>
      </c>
      <c r="D42" s="11">
        <v>45332.95654166667</v>
      </c>
    </row>
    <row r="43">
      <c r="A43" s="5" t="s">
        <v>56</v>
      </c>
      <c r="B43" s="27">
        <v>20.0</v>
      </c>
      <c r="C43" s="24" t="s">
        <v>1006</v>
      </c>
      <c r="D43" s="11">
        <v>45332.95675484954</v>
      </c>
    </row>
    <row r="44">
      <c r="A44" s="5" t="s">
        <v>56</v>
      </c>
      <c r="B44" s="27">
        <v>40.0</v>
      </c>
      <c r="C44" s="24" t="s">
        <v>1007</v>
      </c>
      <c r="D44" s="11">
        <v>45332.956932326386</v>
      </c>
    </row>
    <row r="45">
      <c r="A45" s="5" t="s">
        <v>56</v>
      </c>
      <c r="B45" s="27">
        <v>690.0</v>
      </c>
      <c r="C45" s="24" t="s">
        <v>1008</v>
      </c>
      <c r="D45" s="11">
        <v>45333.801419247684</v>
      </c>
    </row>
    <row r="46">
      <c r="A46" s="5" t="s">
        <v>56</v>
      </c>
      <c r="B46" s="27">
        <v>100.0</v>
      </c>
      <c r="C46" s="24" t="s">
        <v>1009</v>
      </c>
      <c r="D46" s="11">
        <v>45333.80556789352</v>
      </c>
    </row>
    <row r="47">
      <c r="A47" s="5" t="s">
        <v>148</v>
      </c>
      <c r="B47" s="27">
        <v>80.0</v>
      </c>
      <c r="C47" s="24" t="s">
        <v>1010</v>
      </c>
      <c r="D47" s="11">
        <v>45333.80552951389</v>
      </c>
    </row>
    <row r="48">
      <c r="A48" s="5" t="s">
        <v>56</v>
      </c>
      <c r="B48" s="27">
        <v>115.0</v>
      </c>
      <c r="C48" s="24" t="s">
        <v>1011</v>
      </c>
      <c r="D48" s="11">
        <v>45335.77608137732</v>
      </c>
    </row>
    <row r="49">
      <c r="A49" s="5" t="s">
        <v>36</v>
      </c>
      <c r="B49" s="27">
        <v>56.0</v>
      </c>
      <c r="C49" s="24"/>
      <c r="D49" s="11">
        <v>45336.370823819445</v>
      </c>
    </row>
    <row r="50">
      <c r="A50" s="5" t="s">
        <v>51</v>
      </c>
      <c r="B50" s="27">
        <v>230.0</v>
      </c>
      <c r="C50" s="24"/>
      <c r="D50" s="11">
        <v>45336.37117546296</v>
      </c>
    </row>
    <row r="51">
      <c r="A51" s="5" t="s">
        <v>307</v>
      </c>
      <c r="B51" s="27">
        <v>90.0</v>
      </c>
      <c r="C51" s="24" t="s">
        <v>1012</v>
      </c>
      <c r="D51" s="11">
        <v>45336.5409659838</v>
      </c>
    </row>
    <row r="52">
      <c r="A52" s="5" t="s">
        <v>56</v>
      </c>
      <c r="B52" s="27">
        <v>48.0</v>
      </c>
      <c r="C52" s="24"/>
      <c r="D52" s="11">
        <v>45336.705387685186</v>
      </c>
    </row>
    <row r="53">
      <c r="A53" s="5" t="s">
        <v>55</v>
      </c>
      <c r="B53" s="27">
        <v>500.0</v>
      </c>
      <c r="C53" s="24"/>
      <c r="D53" s="11">
        <v>45337.380802824075</v>
      </c>
    </row>
    <row r="54">
      <c r="A54" s="5" t="s">
        <v>56</v>
      </c>
      <c r="B54" s="27">
        <v>57.0</v>
      </c>
      <c r="C54" s="24" t="s">
        <v>1013</v>
      </c>
      <c r="D54" s="11">
        <v>45337.40311557871</v>
      </c>
    </row>
    <row r="55">
      <c r="A55" s="5" t="s">
        <v>148</v>
      </c>
      <c r="B55" s="27">
        <v>54.0</v>
      </c>
      <c r="C55" s="24" t="s">
        <v>959</v>
      </c>
      <c r="D55" s="11">
        <v>45337.8096840625</v>
      </c>
    </row>
    <row r="56">
      <c r="A56" s="5" t="s">
        <v>80</v>
      </c>
      <c r="B56" s="27">
        <v>71.0</v>
      </c>
      <c r="C56" s="24" t="s">
        <v>1014</v>
      </c>
      <c r="D56" s="11">
        <v>45339.554039571754</v>
      </c>
    </row>
    <row r="57">
      <c r="A57" s="5" t="s">
        <v>35</v>
      </c>
      <c r="B57" s="27">
        <v>2800.0</v>
      </c>
      <c r="C57" s="24"/>
      <c r="D57" s="11">
        <v>45339.69257427083</v>
      </c>
    </row>
    <row r="58">
      <c r="A58" s="5" t="s">
        <v>56</v>
      </c>
      <c r="B58" s="27">
        <v>100.0</v>
      </c>
      <c r="C58" s="24" t="s">
        <v>1015</v>
      </c>
      <c r="D58" s="11">
        <v>45339.80949248842</v>
      </c>
    </row>
    <row r="59">
      <c r="A59" s="5" t="s">
        <v>56</v>
      </c>
      <c r="B59" s="27">
        <v>130.0</v>
      </c>
      <c r="C59" s="24" t="s">
        <v>1016</v>
      </c>
      <c r="D59" s="11">
        <v>45339.809638645835</v>
      </c>
    </row>
    <row r="60">
      <c r="A60" s="5" t="s">
        <v>307</v>
      </c>
      <c r="B60" s="27">
        <v>170.0</v>
      </c>
      <c r="C60" s="24" t="s">
        <v>1017</v>
      </c>
      <c r="D60" s="11">
        <v>45340.7105525</v>
      </c>
    </row>
    <row r="61">
      <c r="A61" s="5" t="s">
        <v>46</v>
      </c>
      <c r="B61" s="27">
        <v>7656.0</v>
      </c>
      <c r="C61" s="24"/>
      <c r="D61" s="11">
        <v>45341.653255150464</v>
      </c>
    </row>
    <row r="62">
      <c r="A62" s="5" t="s">
        <v>40</v>
      </c>
      <c r="B62" s="24">
        <v>4448.0</v>
      </c>
      <c r="C62" s="24"/>
      <c r="D62" s="11">
        <v>45341.65412535879</v>
      </c>
    </row>
    <row r="63">
      <c r="A63" s="5" t="s">
        <v>36</v>
      </c>
      <c r="B63" s="24">
        <v>17.0</v>
      </c>
      <c r="C63" s="24"/>
      <c r="D63" s="11">
        <v>45342.52847916666</v>
      </c>
    </row>
    <row r="64">
      <c r="A64" s="5" t="s">
        <v>148</v>
      </c>
      <c r="B64" s="24">
        <v>74.0</v>
      </c>
      <c r="C64" s="24"/>
      <c r="D64" s="11">
        <v>45343.37845318287</v>
      </c>
    </row>
    <row r="65">
      <c r="A65" s="5" t="s">
        <v>56</v>
      </c>
      <c r="B65" s="24">
        <v>680.0</v>
      </c>
      <c r="C65" s="24" t="s">
        <v>826</v>
      </c>
      <c r="D65" s="11">
        <v>45343.37884991898</v>
      </c>
    </row>
    <row r="66">
      <c r="A66" s="5" t="s">
        <v>58</v>
      </c>
      <c r="B66" s="24">
        <v>154.0</v>
      </c>
      <c r="C66" s="24" t="s">
        <v>1018</v>
      </c>
      <c r="D66" s="11">
        <v>45345.82216357639</v>
      </c>
    </row>
    <row r="67">
      <c r="A67" s="5" t="s">
        <v>36</v>
      </c>
      <c r="B67" s="24">
        <v>40.0</v>
      </c>
      <c r="C67" s="24"/>
      <c r="D67" s="11">
        <v>45345.822270335644</v>
      </c>
    </row>
    <row r="68">
      <c r="A68" s="5" t="s">
        <v>36</v>
      </c>
      <c r="B68" s="24">
        <v>46.0</v>
      </c>
      <c r="C68" s="24"/>
      <c r="D68" s="11">
        <v>45348.412132488425</v>
      </c>
    </row>
    <row r="69">
      <c r="A69" s="5" t="s">
        <v>56</v>
      </c>
      <c r="B69" s="24">
        <v>200.0</v>
      </c>
      <c r="C69" s="24" t="s">
        <v>1019</v>
      </c>
      <c r="D69" s="11">
        <v>45348.4122187037</v>
      </c>
    </row>
    <row r="70">
      <c r="A70" s="5" t="s">
        <v>56</v>
      </c>
      <c r="B70" s="24">
        <v>165.0</v>
      </c>
      <c r="C70" s="24" t="s">
        <v>1020</v>
      </c>
      <c r="D70" s="11">
        <v>45348.44119561343</v>
      </c>
    </row>
    <row r="71">
      <c r="A71" s="5" t="s">
        <v>36</v>
      </c>
      <c r="B71" s="24">
        <v>17.0</v>
      </c>
      <c r="C71" s="24"/>
      <c r="D71" s="11">
        <v>45348.44148872685</v>
      </c>
    </row>
    <row r="72">
      <c r="A72" s="5" t="s">
        <v>56</v>
      </c>
      <c r="B72" s="24">
        <v>100.0</v>
      </c>
      <c r="C72" s="24" t="s">
        <v>1021</v>
      </c>
      <c r="D72" s="11">
        <v>45348.54175561343</v>
      </c>
    </row>
    <row r="73">
      <c r="A73" s="5" t="s">
        <v>73</v>
      </c>
      <c r="B73" s="24">
        <v>250.0</v>
      </c>
      <c r="C73" s="24"/>
      <c r="D73" s="11">
        <v>45349.91776163194</v>
      </c>
    </row>
    <row r="74">
      <c r="A74" s="5" t="s">
        <v>36</v>
      </c>
      <c r="B74" s="24">
        <v>100.0</v>
      </c>
      <c r="C74" s="24"/>
      <c r="D74" s="11">
        <v>45349.91783436343</v>
      </c>
    </row>
    <row r="75">
      <c r="A75" s="5" t="s">
        <v>56</v>
      </c>
      <c r="B75" s="24">
        <v>500.0</v>
      </c>
      <c r="C75" s="24" t="s">
        <v>777</v>
      </c>
      <c r="D75" s="11">
        <v>45349.91847773148</v>
      </c>
    </row>
    <row r="76">
      <c r="A76" s="5" t="s">
        <v>56</v>
      </c>
      <c r="B76" s="24">
        <v>100.0</v>
      </c>
      <c r="C76" s="24" t="s">
        <v>1022</v>
      </c>
      <c r="D76" s="11">
        <v>45349.92562306713</v>
      </c>
    </row>
    <row r="77">
      <c r="A77" s="5" t="s">
        <v>56</v>
      </c>
      <c r="B77" s="24">
        <v>100.0</v>
      </c>
      <c r="C77" s="24" t="s">
        <v>1023</v>
      </c>
      <c r="D77" s="11">
        <v>45349.927392743055</v>
      </c>
    </row>
    <row r="78">
      <c r="A78" s="5" t="s">
        <v>58</v>
      </c>
      <c r="B78" s="24">
        <v>50.0</v>
      </c>
      <c r="C78" s="24" t="s">
        <v>835</v>
      </c>
      <c r="D78" s="11">
        <v>45349.92757798611</v>
      </c>
    </row>
    <row r="79">
      <c r="A79" s="5" t="s">
        <v>41</v>
      </c>
      <c r="B79" s="24">
        <v>50.0</v>
      </c>
      <c r="C79" s="24"/>
      <c r="D79" s="11">
        <v>45349.92894916667</v>
      </c>
    </row>
    <row r="80">
      <c r="A80" s="5" t="s">
        <v>56</v>
      </c>
      <c r="B80" s="24">
        <v>65.0</v>
      </c>
      <c r="C80" s="24" t="s">
        <v>806</v>
      </c>
      <c r="D80" s="11">
        <v>45349.92926138889</v>
      </c>
    </row>
    <row r="81">
      <c r="A81" s="5" t="s">
        <v>56</v>
      </c>
      <c r="B81" s="24">
        <v>100.0</v>
      </c>
      <c r="C81" s="36" t="s">
        <v>1024</v>
      </c>
      <c r="D81" s="11">
        <v>45349.929384629635</v>
      </c>
    </row>
    <row r="82">
      <c r="A82" s="5" t="s">
        <v>36</v>
      </c>
      <c r="B82" s="24">
        <v>17.0</v>
      </c>
      <c r="C82" s="24"/>
      <c r="D82" s="11">
        <v>45349.92956246527</v>
      </c>
    </row>
    <row r="83">
      <c r="A83" s="5" t="s">
        <v>148</v>
      </c>
      <c r="B83" s="24">
        <v>70.0</v>
      </c>
      <c r="C83" s="24" t="s">
        <v>1010</v>
      </c>
      <c r="D83" s="11">
        <v>45349.92973855324</v>
      </c>
    </row>
    <row r="84">
      <c r="A84" s="5" t="s">
        <v>36</v>
      </c>
      <c r="B84" s="24">
        <v>37.0</v>
      </c>
      <c r="C84" s="24"/>
      <c r="D84" s="11">
        <v>45349.930060439816</v>
      </c>
    </row>
    <row r="85">
      <c r="A85" s="5" t="s">
        <v>36</v>
      </c>
      <c r="B85" s="24">
        <v>18.0</v>
      </c>
      <c r="C85" s="24"/>
      <c r="D85" s="11">
        <v>45349.93019241898</v>
      </c>
    </row>
    <row r="86">
      <c r="A86" s="5" t="s">
        <v>36</v>
      </c>
      <c r="B86" s="24">
        <v>17.0</v>
      </c>
      <c r="C86" s="24" t="s">
        <v>987</v>
      </c>
      <c r="D86" s="11">
        <v>45349.93038634259</v>
      </c>
    </row>
    <row r="87">
      <c r="A87" s="5" t="s">
        <v>47</v>
      </c>
      <c r="B87" s="24">
        <v>10.0</v>
      </c>
      <c r="C87" s="24" t="s">
        <v>780</v>
      </c>
      <c r="D87" s="11">
        <v>45349.93072694444</v>
      </c>
    </row>
    <row r="88">
      <c r="A88" s="5" t="s">
        <v>41</v>
      </c>
      <c r="B88" s="24">
        <v>25.0</v>
      </c>
      <c r="C88" s="13"/>
      <c r="D88" s="11">
        <v>45349.931337974536</v>
      </c>
    </row>
    <row r="89">
      <c r="A89" s="5" t="s">
        <v>58</v>
      </c>
      <c r="B89" s="24">
        <v>15.0</v>
      </c>
      <c r="C89" s="24" t="s">
        <v>803</v>
      </c>
      <c r="D89" s="11">
        <v>45349.93142115741</v>
      </c>
      <c r="L89" s="24"/>
    </row>
    <row r="90">
      <c r="A90" s="1" t="s">
        <v>56</v>
      </c>
      <c r="B90" s="1">
        <v>184.0</v>
      </c>
      <c r="C90" s="1" t="s">
        <v>1025</v>
      </c>
      <c r="D90" s="11">
        <v>45350.28310537037</v>
      </c>
      <c r="L90" s="24"/>
    </row>
    <row r="91">
      <c r="A91" s="5" t="s">
        <v>36</v>
      </c>
      <c r="B91" s="24">
        <v>100.0</v>
      </c>
      <c r="C91" s="24"/>
      <c r="D91" s="11">
        <v>45350.27880263889</v>
      </c>
      <c r="L91" s="24"/>
    </row>
    <row r="92">
      <c r="A92" s="5" t="s">
        <v>56</v>
      </c>
      <c r="B92" s="24">
        <v>689.0</v>
      </c>
      <c r="C92" s="24" t="s">
        <v>1026</v>
      </c>
      <c r="D92" s="11">
        <v>45350.282874375</v>
      </c>
      <c r="L92" s="24"/>
    </row>
    <row r="93">
      <c r="A93" s="5" t="s">
        <v>36</v>
      </c>
      <c r="B93" s="24">
        <v>35.0</v>
      </c>
      <c r="C93" s="24"/>
      <c r="D93" s="11">
        <v>45350.29023121527</v>
      </c>
      <c r="L93" s="24"/>
    </row>
    <row r="94">
      <c r="A94" s="5" t="s">
        <v>56</v>
      </c>
      <c r="B94" s="24">
        <v>160.0</v>
      </c>
      <c r="C94" s="24" t="s">
        <v>993</v>
      </c>
      <c r="D94" s="11">
        <v>45350.29251871528</v>
      </c>
      <c r="L94" s="24"/>
    </row>
    <row r="95">
      <c r="A95" s="5" t="s">
        <v>36</v>
      </c>
      <c r="B95" s="24">
        <v>70.0</v>
      </c>
      <c r="C95" s="13"/>
      <c r="D95" s="11">
        <v>45350.292839050926</v>
      </c>
      <c r="L95" s="24"/>
    </row>
    <row r="96">
      <c r="A96" s="5" t="s">
        <v>56</v>
      </c>
      <c r="B96" s="24">
        <v>1570.0</v>
      </c>
      <c r="C96" s="24" t="s">
        <v>1027</v>
      </c>
      <c r="D96" s="11">
        <v>45350.29749452547</v>
      </c>
      <c r="L96" s="24"/>
    </row>
    <row r="97">
      <c r="A97" s="5" t="s">
        <v>73</v>
      </c>
      <c r="B97" s="24">
        <v>250.0</v>
      </c>
      <c r="C97" s="24" t="s">
        <v>928</v>
      </c>
      <c r="D97" s="11">
        <v>45350.73836484954</v>
      </c>
      <c r="L97" s="24"/>
    </row>
    <row r="98">
      <c r="A98" s="5"/>
      <c r="B98" s="24"/>
      <c r="C98" s="24"/>
      <c r="D98" s="11"/>
      <c r="L98" s="24"/>
    </row>
    <row r="99">
      <c r="A99" s="5"/>
      <c r="B99" s="24"/>
      <c r="C99" s="24"/>
      <c r="D99" s="11"/>
      <c r="L99" s="24"/>
    </row>
    <row r="100">
      <c r="A100" s="5"/>
      <c r="B100" s="24"/>
      <c r="C100" s="24"/>
      <c r="D100" s="11"/>
    </row>
    <row r="101">
      <c r="A101" s="5"/>
      <c r="B101" s="24"/>
      <c r="C101" s="24"/>
      <c r="D101" s="11"/>
    </row>
    <row r="102">
      <c r="A102" s="5"/>
      <c r="B102" s="24"/>
      <c r="C102" s="24"/>
      <c r="D102" s="11"/>
    </row>
    <row r="103">
      <c r="A103" s="5"/>
      <c r="B103" s="24"/>
      <c r="C103" s="24"/>
      <c r="D103" s="11"/>
    </row>
    <row r="104">
      <c r="A104" s="5"/>
      <c r="B104" s="24"/>
      <c r="C104" s="24"/>
      <c r="D104" s="11"/>
    </row>
    <row r="105">
      <c r="A105" s="5"/>
      <c r="B105" s="24"/>
      <c r="C105" s="24"/>
      <c r="D105" s="11"/>
    </row>
    <row r="106">
      <c r="A106" s="5"/>
      <c r="B106" s="24"/>
      <c r="C106" s="24"/>
      <c r="D106" s="11"/>
    </row>
    <row r="107">
      <c r="A107" s="5"/>
      <c r="B107" s="24"/>
      <c r="C107" s="24"/>
      <c r="D107" s="11"/>
    </row>
    <row r="108">
      <c r="A108" s="5"/>
      <c r="B108" s="24"/>
      <c r="C108" s="24"/>
      <c r="D108" s="11"/>
    </row>
    <row r="109">
      <c r="A109" s="5"/>
      <c r="B109" s="24"/>
      <c r="C109" s="24"/>
      <c r="D109" s="11"/>
    </row>
    <row r="110">
      <c r="A110" s="5"/>
      <c r="B110" s="24"/>
      <c r="C110" s="24"/>
      <c r="D110" s="11"/>
    </row>
    <row r="111">
      <c r="A111" s="5"/>
      <c r="B111" s="24"/>
      <c r="C111" s="24"/>
      <c r="D111" s="11"/>
    </row>
    <row r="112">
      <c r="A112" s="5"/>
      <c r="B112" s="24"/>
      <c r="C112" s="24"/>
      <c r="D112" s="11"/>
    </row>
    <row r="113">
      <c r="A113" s="5"/>
      <c r="B113" s="24"/>
      <c r="C113" s="24"/>
      <c r="D113" s="11"/>
    </row>
    <row r="114">
      <c r="A114" s="5"/>
      <c r="B114" s="24"/>
      <c r="C114" s="24"/>
      <c r="D114" s="11"/>
    </row>
    <row r="115">
      <c r="A115" s="5"/>
      <c r="B115" s="24"/>
      <c r="C115" s="24"/>
      <c r="D115" s="11"/>
    </row>
    <row r="116">
      <c r="A116" s="5"/>
      <c r="B116" s="24"/>
      <c r="C116" s="24"/>
      <c r="D116" s="11"/>
    </row>
    <row r="117">
      <c r="A117" s="5"/>
      <c r="B117" s="24"/>
      <c r="C117" s="24"/>
      <c r="D117" s="11"/>
    </row>
    <row r="118">
      <c r="A118" s="5"/>
      <c r="B118" s="24"/>
      <c r="C118" s="24"/>
      <c r="D118" s="11"/>
    </row>
    <row r="119">
      <c r="A119" s="5"/>
      <c r="B119" s="24"/>
      <c r="C119" s="24"/>
      <c r="D119" s="11"/>
    </row>
    <row r="120">
      <c r="A120" s="5"/>
      <c r="B120" s="24"/>
      <c r="C120" s="24"/>
      <c r="D120" s="11"/>
    </row>
    <row r="121">
      <c r="A121" s="5"/>
      <c r="B121" s="24"/>
      <c r="C121" s="24"/>
      <c r="D121" s="11"/>
    </row>
    <row r="122">
      <c r="A122" s="5"/>
      <c r="B122" s="24"/>
      <c r="C122" s="24"/>
      <c r="D122" s="11"/>
    </row>
    <row r="123">
      <c r="A123" s="5"/>
      <c r="B123" s="24"/>
      <c r="C123" s="24"/>
      <c r="D123" s="11"/>
    </row>
    <row r="124">
      <c r="A124" s="5"/>
      <c r="B124" s="24"/>
      <c r="C124" s="24"/>
      <c r="D124" s="11"/>
    </row>
    <row r="125">
      <c r="A125" s="5"/>
      <c r="B125" s="24"/>
      <c r="C125" s="24"/>
      <c r="D125" s="11"/>
    </row>
    <row r="126">
      <c r="A126" s="5"/>
      <c r="B126" s="24"/>
      <c r="C126" s="24"/>
      <c r="D126" s="11"/>
    </row>
    <row r="127">
      <c r="A127" s="5"/>
      <c r="B127" s="24"/>
      <c r="C127" s="24"/>
      <c r="D127" s="11"/>
    </row>
    <row r="128">
      <c r="A128" s="5"/>
      <c r="B128" s="24"/>
      <c r="C128" s="24"/>
      <c r="D128" s="11"/>
    </row>
    <row r="129">
      <c r="A129" s="5"/>
      <c r="B129" s="24"/>
      <c r="C129" s="24"/>
      <c r="D129" s="11"/>
    </row>
    <row r="130">
      <c r="A130" s="5"/>
      <c r="B130" s="24"/>
      <c r="C130" s="24"/>
      <c r="D130" s="11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7">
        <sortState ref="A2:D97">
          <sortCondition ref="D2:D97"/>
          <sortCondition ref="B2:B97"/>
        </sortState>
      </autoFilter>
    </customSheetView>
  </customSheetViews>
  <mergeCells count="1">
    <mergeCell ref="E1:F1"/>
  </mergeCells>
  <conditionalFormatting sqref="D3:D130">
    <cfRule type="notContainsBlanks" dxfId="0" priority="1">
      <formula>LEN(TRIM(D3))&gt;0</formula>
    </cfRule>
  </conditionalFormatting>
  <dataValidations>
    <dataValidation type="list" allowBlank="1" sqref="A3:A89 A91:A130">
      <formula1>kategorie!$A$1:$A$50</formula1>
    </dataValidation>
    <dataValidation type="custom" allowBlank="1" showDropDown="1" sqref="D3:D89 D91:D96 D98:D130">
      <formula1>OR(NOT(ISERROR(DATEVALUE(D3))), AND(ISNUMBER(D3), LEFT(CELL("format", D3))="D"))</formula1>
    </dataValidation>
  </dataValidations>
  <hyperlinks>
    <hyperlink r:id="rId2" ref="C81"/>
  </hyperlinks>
  <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B1" s="5"/>
      <c r="C1" s="5"/>
      <c r="E1" s="1" t="s">
        <v>27</v>
      </c>
      <c r="H1" s="1" t="s">
        <v>28</v>
      </c>
      <c r="J1" s="1" t="s">
        <v>29</v>
      </c>
      <c r="K1" s="6">
        <f>SUM(J3:J999)</f>
        <v>16498</v>
      </c>
      <c r="L1" s="2">
        <f>F3-K1</f>
        <v>16287</v>
      </c>
    </row>
    <row r="2">
      <c r="A2" s="5" t="s">
        <v>30</v>
      </c>
      <c r="B2" s="26" t="s">
        <v>31</v>
      </c>
      <c r="C2" s="24" t="s">
        <v>32</v>
      </c>
      <c r="D2" s="1" t="s">
        <v>33</v>
      </c>
    </row>
    <row r="3">
      <c r="A3" s="5" t="s">
        <v>36</v>
      </c>
      <c r="B3" s="27">
        <v>67.0</v>
      </c>
      <c r="C3" s="24"/>
      <c r="D3" s="11">
        <v>45292.0</v>
      </c>
      <c r="E3" s="1" t="s">
        <v>34</v>
      </c>
      <c r="F3" s="8">
        <v>32785.0</v>
      </c>
      <c r="H3" s="2">
        <f>Zbiorczy!D43</f>
        <v>135305</v>
      </c>
      <c r="J3" s="3">
        <f t="shared" ref="J3:J8" si="1">SUMIF($A$3:A$98, K3, B$3:B$98)</f>
        <v>2600</v>
      </c>
      <c r="K3" s="1" t="s">
        <v>35</v>
      </c>
      <c r="M3" s="3">
        <f t="shared" ref="M3:M7" si="2">SUMIF($A$3:A$98, N3, B$3:B$98)</f>
        <v>2027</v>
      </c>
      <c r="N3" s="1" t="s">
        <v>36</v>
      </c>
    </row>
    <row r="4">
      <c r="A4" s="5" t="s">
        <v>36</v>
      </c>
      <c r="B4" s="27">
        <v>190.0</v>
      </c>
      <c r="C4" s="24"/>
      <c r="D4" s="11">
        <v>45292.0</v>
      </c>
      <c r="F4" s="8"/>
      <c r="J4" s="3">
        <f t="shared" si="1"/>
        <v>3319</v>
      </c>
      <c r="K4" s="1" t="s">
        <v>40</v>
      </c>
      <c r="M4" s="3">
        <f t="shared" si="2"/>
        <v>19</v>
      </c>
      <c r="N4" s="1" t="s">
        <v>41</v>
      </c>
    </row>
    <row r="5">
      <c r="A5" s="5" t="s">
        <v>36</v>
      </c>
      <c r="B5" s="27">
        <v>56.0</v>
      </c>
      <c r="C5" s="24"/>
      <c r="D5" s="11">
        <v>45292.0</v>
      </c>
      <c r="J5" s="3">
        <f t="shared" si="1"/>
        <v>5645</v>
      </c>
      <c r="K5" s="1" t="s">
        <v>46</v>
      </c>
      <c r="M5" s="3">
        <f t="shared" si="2"/>
        <v>2383</v>
      </c>
      <c r="N5" s="1" t="s">
        <v>47</v>
      </c>
    </row>
    <row r="6">
      <c r="A6" s="5" t="s">
        <v>36</v>
      </c>
      <c r="B6" s="27">
        <v>176.0</v>
      </c>
      <c r="C6" s="24"/>
      <c r="D6" s="11">
        <v>45292.0</v>
      </c>
      <c r="J6" s="3">
        <f t="shared" si="1"/>
        <v>2051</v>
      </c>
      <c r="K6" s="1" t="s">
        <v>50</v>
      </c>
      <c r="M6" s="3">
        <f t="shared" si="2"/>
        <v>718</v>
      </c>
      <c r="N6" s="1" t="s">
        <v>51</v>
      </c>
    </row>
    <row r="7">
      <c r="A7" s="5" t="s">
        <v>307</v>
      </c>
      <c r="B7" s="27">
        <v>90.0</v>
      </c>
      <c r="C7" s="28"/>
      <c r="D7" s="11">
        <v>45292.0</v>
      </c>
      <c r="J7" s="3">
        <f t="shared" si="1"/>
        <v>500</v>
      </c>
      <c r="K7" s="1" t="s">
        <v>55</v>
      </c>
      <c r="M7" s="3">
        <f t="shared" si="2"/>
        <v>8466</v>
      </c>
      <c r="N7" s="1" t="s">
        <v>56</v>
      </c>
    </row>
    <row r="8">
      <c r="A8" s="5" t="s">
        <v>36</v>
      </c>
      <c r="B8" s="27">
        <v>215.0</v>
      </c>
      <c r="C8" s="5"/>
      <c r="D8" s="11">
        <v>45292.0</v>
      </c>
      <c r="J8" s="3">
        <f t="shared" si="1"/>
        <v>2383</v>
      </c>
      <c r="K8" s="1" t="s">
        <v>47</v>
      </c>
    </row>
    <row r="9">
      <c r="A9" s="5" t="s">
        <v>36</v>
      </c>
      <c r="B9" s="27">
        <v>35.0</v>
      </c>
      <c r="C9" s="24"/>
      <c r="D9" s="11">
        <v>45293.0</v>
      </c>
    </row>
    <row r="10">
      <c r="A10" s="5" t="s">
        <v>36</v>
      </c>
      <c r="B10" s="27">
        <v>800.0</v>
      </c>
      <c r="C10" s="24"/>
      <c r="D10" s="11">
        <v>45294.0</v>
      </c>
    </row>
    <row r="11">
      <c r="A11" s="5" t="s">
        <v>50</v>
      </c>
      <c r="B11" s="27">
        <v>1382.0</v>
      </c>
      <c r="C11" s="24"/>
      <c r="D11" s="11">
        <v>45294.0</v>
      </c>
    </row>
    <row r="12">
      <c r="A12" s="5" t="s">
        <v>50</v>
      </c>
      <c r="B12" s="27">
        <v>350.0</v>
      </c>
      <c r="C12" s="24" t="s">
        <v>780</v>
      </c>
      <c r="D12" s="11">
        <v>45294.0</v>
      </c>
    </row>
    <row r="13">
      <c r="A13" s="5" t="s">
        <v>47</v>
      </c>
      <c r="B13" s="27">
        <v>2330.0</v>
      </c>
      <c r="C13" s="24" t="s">
        <v>921</v>
      </c>
      <c r="D13" s="11">
        <v>45295.35947921296</v>
      </c>
    </row>
    <row r="14">
      <c r="A14" s="5" t="s">
        <v>58</v>
      </c>
      <c r="B14" s="27">
        <v>83.0</v>
      </c>
      <c r="C14" s="24" t="s">
        <v>783</v>
      </c>
      <c r="D14" s="11">
        <v>45295.35970069445</v>
      </c>
    </row>
    <row r="15">
      <c r="A15" s="5" t="s">
        <v>58</v>
      </c>
      <c r="B15" s="27">
        <v>230.0</v>
      </c>
      <c r="C15" s="24" t="s">
        <v>782</v>
      </c>
      <c r="D15" s="11">
        <v>45295.35979903935</v>
      </c>
    </row>
    <row r="16">
      <c r="A16" s="5" t="s">
        <v>41</v>
      </c>
      <c r="B16" s="27">
        <v>5.0</v>
      </c>
      <c r="C16" s="24"/>
      <c r="D16" s="11">
        <v>45295.60819712963</v>
      </c>
    </row>
    <row r="17">
      <c r="A17" s="5" t="s">
        <v>36</v>
      </c>
      <c r="B17" s="27">
        <v>31.0</v>
      </c>
      <c r="C17" s="24"/>
      <c r="D17" s="11">
        <v>45296.32009267361</v>
      </c>
    </row>
    <row r="18">
      <c r="A18" s="5" t="s">
        <v>56</v>
      </c>
      <c r="B18" s="27">
        <v>200.0</v>
      </c>
      <c r="C18" s="24" t="s">
        <v>1028</v>
      </c>
      <c r="D18" s="11">
        <v>45297.49240108796</v>
      </c>
    </row>
    <row r="19">
      <c r="A19" s="5" t="s">
        <v>58</v>
      </c>
      <c r="B19" s="27">
        <v>60.0</v>
      </c>
      <c r="C19" s="24" t="s">
        <v>1029</v>
      </c>
      <c r="D19" s="11">
        <v>45297.509122372685</v>
      </c>
    </row>
    <row r="20">
      <c r="A20" s="5" t="s">
        <v>56</v>
      </c>
      <c r="B20" s="29">
        <v>5900.0</v>
      </c>
      <c r="C20" s="24" t="s">
        <v>1030</v>
      </c>
      <c r="D20" s="11">
        <v>45297.55062109954</v>
      </c>
    </row>
    <row r="21">
      <c r="A21" s="5" t="s">
        <v>47</v>
      </c>
      <c r="B21" s="27">
        <v>10.0</v>
      </c>
      <c r="C21" s="24"/>
      <c r="D21" s="11">
        <v>45298.49494210648</v>
      </c>
      <c r="E21" s="11"/>
      <c r="F21" s="11"/>
      <c r="G21" s="11"/>
    </row>
    <row r="22">
      <c r="A22" s="5" t="s">
        <v>56</v>
      </c>
      <c r="B22" s="27">
        <v>300.0</v>
      </c>
      <c r="C22" s="24"/>
      <c r="D22" s="11">
        <v>45299.26003300926</v>
      </c>
    </row>
    <row r="23">
      <c r="A23" s="5" t="s">
        <v>47</v>
      </c>
      <c r="B23" s="27">
        <v>20.0</v>
      </c>
      <c r="C23" s="24"/>
      <c r="D23" s="11">
        <v>45299.60080141204</v>
      </c>
    </row>
    <row r="24">
      <c r="A24" s="5" t="s">
        <v>37</v>
      </c>
      <c r="B24" s="27">
        <v>127.0</v>
      </c>
      <c r="C24" s="24" t="s">
        <v>1031</v>
      </c>
      <c r="D24" s="11">
        <v>45300.36521996528</v>
      </c>
    </row>
    <row r="25">
      <c r="A25" s="5" t="s">
        <v>36</v>
      </c>
      <c r="B25" s="27">
        <v>37.0</v>
      </c>
      <c r="C25" s="24"/>
      <c r="D25" s="11">
        <v>45300.36537063657</v>
      </c>
    </row>
    <row r="26">
      <c r="A26" s="5" t="s">
        <v>50</v>
      </c>
      <c r="B26" s="27">
        <v>69.0</v>
      </c>
      <c r="C26" s="24" t="s">
        <v>879</v>
      </c>
      <c r="D26" s="11">
        <v>45300.41449618056</v>
      </c>
    </row>
    <row r="27">
      <c r="A27" s="5" t="s">
        <v>56</v>
      </c>
      <c r="B27" s="27">
        <v>58.0</v>
      </c>
      <c r="C27" s="24" t="s">
        <v>912</v>
      </c>
      <c r="D27" s="11">
        <v>45300.79014077546</v>
      </c>
    </row>
    <row r="28">
      <c r="A28" s="5" t="s">
        <v>51</v>
      </c>
      <c r="B28" s="27">
        <v>226.0</v>
      </c>
      <c r="C28" s="24"/>
      <c r="D28" s="11">
        <v>45302.38531732639</v>
      </c>
    </row>
    <row r="29">
      <c r="A29" s="5" t="s">
        <v>47</v>
      </c>
      <c r="B29" s="29">
        <v>23.0</v>
      </c>
      <c r="C29" s="24"/>
      <c r="D29" s="11">
        <v>45302.38540569444</v>
      </c>
    </row>
    <row r="30">
      <c r="A30" s="5" t="s">
        <v>56</v>
      </c>
      <c r="B30" s="29">
        <v>29.0</v>
      </c>
      <c r="C30" s="24" t="s">
        <v>1032</v>
      </c>
      <c r="D30" s="11">
        <v>45302.44050877314</v>
      </c>
    </row>
    <row r="31">
      <c r="A31" s="5" t="s">
        <v>56</v>
      </c>
      <c r="B31" s="27">
        <v>33.0</v>
      </c>
      <c r="C31" s="24" t="s">
        <v>1032</v>
      </c>
      <c r="D31" s="11">
        <v>45302.46210990741</v>
      </c>
    </row>
    <row r="32">
      <c r="A32" s="5" t="s">
        <v>56</v>
      </c>
      <c r="B32" s="27">
        <v>36.0</v>
      </c>
      <c r="C32" s="24" t="s">
        <v>1033</v>
      </c>
      <c r="D32" s="11">
        <v>45302.51442861111</v>
      </c>
    </row>
    <row r="33">
      <c r="A33" s="5" t="s">
        <v>56</v>
      </c>
      <c r="B33" s="27">
        <v>41.0</v>
      </c>
      <c r="C33" s="24" t="s">
        <v>1034</v>
      </c>
      <c r="D33" s="11">
        <v>45302.72480592593</v>
      </c>
    </row>
    <row r="34">
      <c r="A34" s="5" t="s">
        <v>56</v>
      </c>
      <c r="B34" s="31">
        <v>40.0</v>
      </c>
      <c r="C34" s="24" t="s">
        <v>1035</v>
      </c>
      <c r="D34" s="11">
        <v>45302.7892069213</v>
      </c>
    </row>
    <row r="35">
      <c r="A35" s="5" t="s">
        <v>56</v>
      </c>
      <c r="B35" s="31">
        <v>25.0</v>
      </c>
      <c r="C35" s="24" t="s">
        <v>1036</v>
      </c>
      <c r="D35" s="11">
        <v>45303.36074583333</v>
      </c>
    </row>
    <row r="36">
      <c r="A36" s="5" t="s">
        <v>56</v>
      </c>
      <c r="B36" s="27">
        <v>232.0</v>
      </c>
      <c r="C36" s="24" t="s">
        <v>1037</v>
      </c>
      <c r="D36" s="11">
        <v>45303.496055474534</v>
      </c>
    </row>
    <row r="37">
      <c r="A37" s="5" t="s">
        <v>307</v>
      </c>
      <c r="B37" s="34">
        <v>80.0</v>
      </c>
      <c r="C37" s="24" t="s">
        <v>1038</v>
      </c>
      <c r="D37" s="11">
        <v>45303.80186767361</v>
      </c>
    </row>
    <row r="38">
      <c r="A38" s="5" t="s">
        <v>36</v>
      </c>
      <c r="B38" s="27">
        <v>3.0</v>
      </c>
      <c r="C38" s="24"/>
      <c r="D38" s="11">
        <v>45303.80199381945</v>
      </c>
    </row>
    <row r="39">
      <c r="A39" s="5" t="s">
        <v>51</v>
      </c>
      <c r="B39" s="32">
        <v>258.0</v>
      </c>
      <c r="C39" s="24"/>
      <c r="D39" s="11">
        <v>45304.782366666666</v>
      </c>
    </row>
    <row r="40">
      <c r="A40" s="5" t="s">
        <v>40</v>
      </c>
      <c r="B40" s="27">
        <v>3319.0</v>
      </c>
      <c r="C40" s="24"/>
      <c r="D40" s="11">
        <v>45304.783978692125</v>
      </c>
    </row>
    <row r="41">
      <c r="A41" s="5" t="s">
        <v>794</v>
      </c>
      <c r="B41" s="27">
        <v>5645.0</v>
      </c>
      <c r="C41" s="24"/>
      <c r="D41" s="11">
        <v>45304.78483059027</v>
      </c>
    </row>
    <row r="42">
      <c r="A42" s="5" t="s">
        <v>35</v>
      </c>
      <c r="B42" s="27">
        <v>2600.0</v>
      </c>
      <c r="C42" s="24"/>
      <c r="D42" s="11">
        <v>45304.88010283565</v>
      </c>
    </row>
    <row r="43">
      <c r="A43" s="5" t="s">
        <v>50</v>
      </c>
      <c r="B43" s="27">
        <v>250.0</v>
      </c>
      <c r="C43" s="24"/>
      <c r="D43" s="11">
        <v>45305.42930701389</v>
      </c>
    </row>
    <row r="44">
      <c r="A44" s="5" t="s">
        <v>41</v>
      </c>
      <c r="B44" s="27">
        <v>14.0</v>
      </c>
      <c r="C44" s="24"/>
      <c r="D44" s="11">
        <v>45305.518534884264</v>
      </c>
    </row>
    <row r="45">
      <c r="A45" s="5" t="s">
        <v>42</v>
      </c>
      <c r="B45" s="27">
        <v>147.0</v>
      </c>
      <c r="C45" s="24"/>
      <c r="D45" s="11">
        <v>45306.401704606484</v>
      </c>
    </row>
    <row r="46">
      <c r="A46" s="5" t="s">
        <v>36</v>
      </c>
      <c r="B46" s="27">
        <v>70.0</v>
      </c>
      <c r="C46" s="24"/>
      <c r="D46" s="11">
        <v>45306.701519270835</v>
      </c>
    </row>
    <row r="47">
      <c r="A47" s="5" t="s">
        <v>148</v>
      </c>
      <c r="B47" s="27">
        <v>162.0</v>
      </c>
      <c r="C47" s="24"/>
      <c r="D47" s="11">
        <v>45307.88989283565</v>
      </c>
    </row>
    <row r="48">
      <c r="A48" s="5" t="s">
        <v>56</v>
      </c>
      <c r="B48" s="27">
        <v>162.0</v>
      </c>
      <c r="C48" s="24" t="s">
        <v>1039</v>
      </c>
      <c r="D48" s="11">
        <v>45307.92793762732</v>
      </c>
    </row>
    <row r="49">
      <c r="A49" s="5" t="s">
        <v>58</v>
      </c>
      <c r="B49" s="27">
        <v>3550.0</v>
      </c>
      <c r="C49" s="24" t="s">
        <v>1040</v>
      </c>
      <c r="D49" s="11">
        <v>45308.765607071764</v>
      </c>
    </row>
    <row r="50">
      <c r="A50" s="5" t="s">
        <v>36</v>
      </c>
      <c r="B50" s="27">
        <v>71.0</v>
      </c>
      <c r="C50" s="24"/>
      <c r="D50" s="11">
        <v>45310.4075900926</v>
      </c>
    </row>
    <row r="51">
      <c r="A51" s="5" t="s">
        <v>36</v>
      </c>
      <c r="B51" s="27">
        <v>140.0</v>
      </c>
      <c r="C51" s="24" t="s">
        <v>1041</v>
      </c>
      <c r="D51" s="11">
        <v>45311.508273113424</v>
      </c>
    </row>
    <row r="52">
      <c r="A52" s="5" t="s">
        <v>56</v>
      </c>
      <c r="B52" s="27">
        <v>57.0</v>
      </c>
      <c r="C52" s="24"/>
      <c r="D52" s="11">
        <v>45311.50839123843</v>
      </c>
    </row>
    <row r="53">
      <c r="A53" s="5" t="s">
        <v>56</v>
      </c>
      <c r="B53" s="27">
        <v>151.0</v>
      </c>
      <c r="C53" s="24" t="s">
        <v>1042</v>
      </c>
      <c r="D53" s="11">
        <v>45311.66085141204</v>
      </c>
    </row>
    <row r="54">
      <c r="A54" s="5" t="s">
        <v>51</v>
      </c>
      <c r="B54" s="27">
        <v>234.0</v>
      </c>
      <c r="C54" s="24"/>
      <c r="D54" s="11">
        <v>45312.59927261574</v>
      </c>
    </row>
    <row r="55">
      <c r="A55" s="5" t="s">
        <v>36</v>
      </c>
      <c r="B55" s="27">
        <v>25.0</v>
      </c>
      <c r="C55" s="24"/>
      <c r="D55" s="11">
        <v>45313.30493918981</v>
      </c>
    </row>
    <row r="56">
      <c r="A56" s="5" t="s">
        <v>55</v>
      </c>
      <c r="B56" s="27">
        <v>500.0</v>
      </c>
      <c r="C56" s="24" t="s">
        <v>1043</v>
      </c>
      <c r="D56" s="11">
        <v>45314.257911099536</v>
      </c>
    </row>
    <row r="57">
      <c r="A57" s="5" t="s">
        <v>56</v>
      </c>
      <c r="B57" s="27">
        <v>680.0</v>
      </c>
      <c r="C57" s="24" t="s">
        <v>1044</v>
      </c>
      <c r="D57" s="11">
        <v>45314.394330497686</v>
      </c>
    </row>
    <row r="58">
      <c r="A58" s="5" t="s">
        <v>56</v>
      </c>
      <c r="B58" s="27">
        <v>141.0</v>
      </c>
      <c r="C58" s="24" t="s">
        <v>934</v>
      </c>
      <c r="D58" s="11">
        <v>45318.49427984953</v>
      </c>
    </row>
    <row r="59">
      <c r="A59" s="5" t="s">
        <v>56</v>
      </c>
      <c r="B59" s="27">
        <v>150.0</v>
      </c>
      <c r="C59" s="24" t="s">
        <v>1045</v>
      </c>
      <c r="D59" s="11">
        <v>45318.49435451389</v>
      </c>
    </row>
    <row r="60">
      <c r="A60" s="5" t="s">
        <v>56</v>
      </c>
      <c r="B60" s="27">
        <v>98.0</v>
      </c>
      <c r="C60" s="24" t="s">
        <v>806</v>
      </c>
      <c r="D60" s="11">
        <v>45318.494470150465</v>
      </c>
    </row>
    <row r="61">
      <c r="A61" s="5" t="s">
        <v>148</v>
      </c>
      <c r="B61" s="27">
        <v>105.0</v>
      </c>
      <c r="C61" s="24" t="s">
        <v>1046</v>
      </c>
      <c r="D61" s="11">
        <v>45318.50124600694</v>
      </c>
    </row>
    <row r="62">
      <c r="A62" s="5" t="s">
        <v>36</v>
      </c>
      <c r="B62" s="24">
        <v>55.0</v>
      </c>
      <c r="C62" s="24" t="s">
        <v>987</v>
      </c>
      <c r="D62" s="11">
        <v>45318.502460104166</v>
      </c>
    </row>
    <row r="63">
      <c r="A63" s="5" t="s">
        <v>58</v>
      </c>
      <c r="B63" s="24">
        <v>289.0</v>
      </c>
      <c r="C63" s="24" t="s">
        <v>396</v>
      </c>
      <c r="D63" s="11">
        <v>45318.521443819445</v>
      </c>
    </row>
    <row r="64">
      <c r="A64" s="5" t="s">
        <v>56</v>
      </c>
      <c r="B64" s="24">
        <v>133.0</v>
      </c>
      <c r="C64" s="24" t="s">
        <v>1047</v>
      </c>
      <c r="D64" s="11">
        <v>45318.710503055554</v>
      </c>
    </row>
    <row r="65">
      <c r="A65" s="5" t="s">
        <v>36</v>
      </c>
      <c r="B65" s="24">
        <v>56.0</v>
      </c>
      <c r="C65" s="24"/>
      <c r="D65" s="11">
        <v>45320.311851921295</v>
      </c>
    </row>
    <row r="66">
      <c r="A66" s="5"/>
      <c r="B66" s="24"/>
      <c r="C66" s="24"/>
      <c r="D66" s="33"/>
    </row>
    <row r="67">
      <c r="A67" s="5"/>
      <c r="B67" s="24"/>
      <c r="C67" s="24"/>
      <c r="D67" s="33"/>
    </row>
    <row r="68">
      <c r="A68" s="5"/>
      <c r="B68" s="24"/>
      <c r="C68" s="24"/>
      <c r="D68" s="33"/>
    </row>
    <row r="69">
      <c r="A69" s="5"/>
      <c r="B69" s="24"/>
      <c r="C69" s="24"/>
      <c r="D69" s="33"/>
    </row>
    <row r="70">
      <c r="A70" s="5"/>
      <c r="B70" s="24"/>
      <c r="C70" s="24"/>
      <c r="D70" s="35"/>
    </row>
    <row r="71">
      <c r="A71" s="5"/>
      <c r="B71" s="24"/>
      <c r="C71" s="24"/>
      <c r="D71" s="33"/>
    </row>
    <row r="72">
      <c r="A72" s="5"/>
      <c r="B72" s="24"/>
      <c r="C72" s="24"/>
      <c r="D72" s="33"/>
    </row>
    <row r="73">
      <c r="A73" s="5"/>
      <c r="B73" s="24"/>
      <c r="C73" s="24"/>
      <c r="D73" s="33"/>
    </row>
    <row r="74">
      <c r="A74" s="5"/>
      <c r="B74" s="24"/>
      <c r="C74" s="24"/>
      <c r="D74" s="33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5"/>
      <c r="B85" s="24"/>
      <c r="C85" s="24"/>
      <c r="D85" s="25"/>
    </row>
    <row r="86">
      <c r="A86" s="5"/>
      <c r="B86" s="24"/>
      <c r="C86" s="24"/>
      <c r="D86" s="25"/>
    </row>
    <row r="87">
      <c r="A87" s="5"/>
      <c r="B87" s="24"/>
      <c r="C87" s="24"/>
      <c r="D87" s="25"/>
    </row>
    <row r="88">
      <c r="A88" s="5"/>
      <c r="B88" s="24"/>
      <c r="C88" s="24"/>
      <c r="D88" s="25"/>
    </row>
    <row r="89">
      <c r="A89" s="5"/>
      <c r="B89" s="24"/>
      <c r="C89" s="13"/>
      <c r="D89" s="25"/>
    </row>
    <row r="90">
      <c r="A90" s="5"/>
      <c r="B90" s="24"/>
      <c r="C90" s="24"/>
      <c r="D90" s="25"/>
    </row>
    <row r="91">
      <c r="A91" s="5"/>
      <c r="B91" s="24"/>
      <c r="C91" s="24"/>
      <c r="D91" s="25"/>
    </row>
    <row r="92">
      <c r="A92" s="5"/>
      <c r="B92" s="24"/>
      <c r="C92" s="24"/>
      <c r="D92" s="25"/>
    </row>
    <row r="93">
      <c r="A93" s="5"/>
      <c r="B93" s="24"/>
      <c r="C93" s="13"/>
      <c r="D93" s="25"/>
    </row>
    <row r="94">
      <c r="A94" s="5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autoFilter ref="$A$1:$A$999"/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1">
    <mergeCell ref="E1:F1"/>
  </mergeCells>
  <conditionalFormatting sqref="D3:D99">
    <cfRule type="notContainsBlanks" dxfId="0" priority="1">
      <formula>LEN(TRIM(D3))&gt;0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14569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50</v>
      </c>
      <c r="B3" s="24">
        <v>350.0</v>
      </c>
      <c r="C3" s="24"/>
      <c r="D3" s="33"/>
      <c r="E3" s="1" t="s">
        <v>34</v>
      </c>
      <c r="F3" s="8">
        <v>35631.0</v>
      </c>
      <c r="H3" s="2">
        <f>Zbiorczy!D42</f>
        <v>132426</v>
      </c>
      <c r="J3" s="3">
        <f t="shared" ref="J3:J7" si="1">SUMIF($A$3:A$98, K3, B$3:B$98)</f>
        <v>2600</v>
      </c>
      <c r="K3" s="1" t="s">
        <v>35</v>
      </c>
      <c r="M3" s="3">
        <f t="shared" ref="M3:M8" si="2">SUMIF($A$3:A$98, N3, B$3:B$98)</f>
        <v>1238</v>
      </c>
      <c r="N3" s="1" t="s">
        <v>36</v>
      </c>
    </row>
    <row r="4">
      <c r="A4" s="5" t="s">
        <v>50</v>
      </c>
      <c r="B4" s="24">
        <v>1390.0</v>
      </c>
      <c r="C4" s="24"/>
      <c r="D4" s="33"/>
      <c r="F4" s="8"/>
      <c r="J4" s="3">
        <f t="shared" si="1"/>
        <v>3560</v>
      </c>
      <c r="K4" s="1" t="s">
        <v>40</v>
      </c>
      <c r="M4" s="3">
        <f t="shared" si="2"/>
        <v>97</v>
      </c>
      <c r="N4" s="1" t="s">
        <v>41</v>
      </c>
    </row>
    <row r="5">
      <c r="A5" s="5" t="s">
        <v>47</v>
      </c>
      <c r="B5" s="24">
        <v>2331.0</v>
      </c>
      <c r="C5" s="24"/>
      <c r="D5" s="35"/>
      <c r="J5" s="3">
        <f t="shared" si="1"/>
        <v>6069</v>
      </c>
      <c r="K5" s="1" t="s">
        <v>46</v>
      </c>
      <c r="M5" s="3">
        <f t="shared" si="2"/>
        <v>7192</v>
      </c>
      <c r="N5" s="1" t="s">
        <v>47</v>
      </c>
    </row>
    <row r="6">
      <c r="A6" s="5" t="s">
        <v>58</v>
      </c>
      <c r="B6" s="24">
        <v>230.0</v>
      </c>
      <c r="C6" s="24"/>
      <c r="D6" s="35"/>
      <c r="J6" s="3">
        <f t="shared" si="1"/>
        <v>1840</v>
      </c>
      <c r="K6" s="1" t="s">
        <v>50</v>
      </c>
      <c r="M6" s="3">
        <f t="shared" si="2"/>
        <v>1562</v>
      </c>
      <c r="N6" s="1" t="s">
        <v>51</v>
      </c>
    </row>
    <row r="7">
      <c r="A7" s="5" t="s">
        <v>58</v>
      </c>
      <c r="B7" s="24">
        <v>160.0</v>
      </c>
      <c r="C7" s="28"/>
      <c r="D7" s="33"/>
      <c r="J7" s="3">
        <f t="shared" si="1"/>
        <v>500</v>
      </c>
      <c r="K7" s="1" t="s">
        <v>55</v>
      </c>
      <c r="M7" s="3">
        <f t="shared" si="2"/>
        <v>5224</v>
      </c>
      <c r="N7" s="1" t="s">
        <v>56</v>
      </c>
    </row>
    <row r="8">
      <c r="A8" s="5" t="s">
        <v>36</v>
      </c>
      <c r="B8" s="24">
        <v>110.0</v>
      </c>
      <c r="C8" s="5"/>
      <c r="D8" s="33"/>
      <c r="M8" s="3">
        <f t="shared" si="2"/>
        <v>7192</v>
      </c>
      <c r="N8" s="1" t="s">
        <v>47</v>
      </c>
    </row>
    <row r="9">
      <c r="A9" s="5" t="s">
        <v>51</v>
      </c>
      <c r="B9" s="24">
        <v>213.0</v>
      </c>
      <c r="C9" s="24"/>
      <c r="D9" s="33"/>
    </row>
    <row r="10">
      <c r="A10" s="5" t="s">
        <v>47</v>
      </c>
      <c r="B10" s="24">
        <v>4841.0</v>
      </c>
      <c r="C10" s="24" t="s">
        <v>1048</v>
      </c>
      <c r="D10" s="35"/>
    </row>
    <row r="11">
      <c r="A11" s="5" t="s">
        <v>37</v>
      </c>
      <c r="B11" s="24">
        <v>60.0</v>
      </c>
      <c r="C11" s="24"/>
      <c r="D11" s="35"/>
    </row>
    <row r="12">
      <c r="A12" s="5" t="s">
        <v>51</v>
      </c>
      <c r="B12" s="24">
        <v>227.0</v>
      </c>
      <c r="C12" s="24"/>
      <c r="D12" s="33"/>
    </row>
    <row r="13">
      <c r="A13" s="5" t="s">
        <v>51</v>
      </c>
      <c r="B13" s="24">
        <v>220.0</v>
      </c>
      <c r="C13" s="24"/>
      <c r="D13" s="33"/>
    </row>
    <row r="14">
      <c r="A14" s="5" t="s">
        <v>46</v>
      </c>
      <c r="B14" s="24">
        <v>6069.0</v>
      </c>
      <c r="C14" s="24"/>
      <c r="D14" s="33"/>
    </row>
    <row r="15">
      <c r="A15" s="5" t="s">
        <v>40</v>
      </c>
      <c r="B15" s="24">
        <v>3548.0</v>
      </c>
      <c r="C15" s="24"/>
      <c r="D15" s="33"/>
    </row>
    <row r="16">
      <c r="A16" s="5" t="s">
        <v>201</v>
      </c>
      <c r="B16" s="24">
        <v>2600.0</v>
      </c>
      <c r="C16" s="24"/>
      <c r="D16" s="33"/>
    </row>
    <row r="17">
      <c r="A17" s="5" t="s">
        <v>40</v>
      </c>
      <c r="B17" s="24">
        <v>12.0</v>
      </c>
      <c r="C17" s="24"/>
      <c r="D17" s="25"/>
    </row>
    <row r="18">
      <c r="A18" s="5" t="s">
        <v>51</v>
      </c>
      <c r="B18" s="24">
        <v>188.0</v>
      </c>
      <c r="C18" s="24"/>
      <c r="D18" s="33"/>
    </row>
    <row r="19">
      <c r="A19" s="5" t="s">
        <v>51</v>
      </c>
      <c r="B19" s="5">
        <v>239.0</v>
      </c>
      <c r="C19" s="24"/>
      <c r="D19" s="33"/>
    </row>
    <row r="20">
      <c r="A20" s="5" t="s">
        <v>51</v>
      </c>
      <c r="B20" s="37">
        <v>157.0</v>
      </c>
      <c r="C20" s="24"/>
      <c r="D20" s="33"/>
    </row>
    <row r="21">
      <c r="A21" s="5" t="s">
        <v>51</v>
      </c>
      <c r="B21" s="24">
        <v>48.0</v>
      </c>
      <c r="C21" s="24"/>
      <c r="D21" s="33"/>
    </row>
    <row r="22">
      <c r="A22" s="5" t="s">
        <v>56</v>
      </c>
      <c r="B22" s="24">
        <v>178.0</v>
      </c>
      <c r="C22" s="24" t="s">
        <v>1049</v>
      </c>
      <c r="D22" s="33"/>
    </row>
    <row r="23">
      <c r="A23" s="5" t="s">
        <v>41</v>
      </c>
      <c r="B23" s="24">
        <v>29.0</v>
      </c>
      <c r="C23" s="24"/>
      <c r="D23" s="33"/>
    </row>
    <row r="24">
      <c r="A24" s="5" t="s">
        <v>56</v>
      </c>
      <c r="B24" s="24">
        <v>225.0</v>
      </c>
      <c r="C24" s="24" t="s">
        <v>1050</v>
      </c>
      <c r="D24" s="33"/>
    </row>
    <row r="25">
      <c r="A25" s="1" t="s">
        <v>56</v>
      </c>
      <c r="B25" s="1">
        <v>550.0</v>
      </c>
      <c r="C25" s="24" t="s">
        <v>1051</v>
      </c>
      <c r="D25" s="33"/>
    </row>
    <row r="26">
      <c r="A26" s="5" t="s">
        <v>36</v>
      </c>
      <c r="B26" s="24">
        <v>41.0</v>
      </c>
      <c r="C26" s="24"/>
      <c r="D26" s="33"/>
    </row>
    <row r="27">
      <c r="A27" s="5" t="s">
        <v>36</v>
      </c>
      <c r="B27" s="24">
        <v>17.0</v>
      </c>
      <c r="C27" s="24"/>
      <c r="D27" s="33"/>
    </row>
    <row r="28">
      <c r="A28" s="5" t="s">
        <v>47</v>
      </c>
      <c r="B28" s="24">
        <v>5.0</v>
      </c>
      <c r="C28" s="24"/>
      <c r="D28" s="33"/>
    </row>
    <row r="29">
      <c r="A29" s="5" t="s">
        <v>36</v>
      </c>
      <c r="B29" s="37">
        <v>61.0</v>
      </c>
      <c r="C29" s="24"/>
      <c r="D29" s="35"/>
    </row>
    <row r="30">
      <c r="A30" s="5" t="s">
        <v>36</v>
      </c>
      <c r="B30" s="37">
        <v>26.0</v>
      </c>
      <c r="C30" s="24"/>
      <c r="D30" s="33"/>
    </row>
    <row r="31">
      <c r="A31" s="5" t="s">
        <v>36</v>
      </c>
      <c r="B31" s="24">
        <v>131.0</v>
      </c>
      <c r="C31" s="24"/>
      <c r="D31" s="33"/>
    </row>
    <row r="32">
      <c r="A32" s="5" t="s">
        <v>36</v>
      </c>
      <c r="B32" s="24">
        <v>66.0</v>
      </c>
      <c r="C32" s="24"/>
      <c r="D32" s="33"/>
    </row>
    <row r="33">
      <c r="A33" s="5" t="s">
        <v>36</v>
      </c>
      <c r="B33" s="24">
        <v>158.0</v>
      </c>
      <c r="C33" s="24"/>
      <c r="D33" s="33"/>
    </row>
    <row r="34">
      <c r="A34" s="5" t="s">
        <v>36</v>
      </c>
      <c r="B34" s="30">
        <v>57.0</v>
      </c>
      <c r="C34" s="24"/>
      <c r="D34" s="33"/>
    </row>
    <row r="35">
      <c r="A35" s="5" t="s">
        <v>56</v>
      </c>
      <c r="B35" s="30">
        <v>36.0</v>
      </c>
      <c r="C35" s="24"/>
      <c r="D35" s="33"/>
    </row>
    <row r="36">
      <c r="A36" s="5" t="s">
        <v>80</v>
      </c>
      <c r="B36" s="24">
        <v>12.0</v>
      </c>
      <c r="C36" s="24"/>
      <c r="D36" s="33"/>
    </row>
    <row r="37">
      <c r="A37" s="5" t="s">
        <v>56</v>
      </c>
      <c r="B37" s="34">
        <v>59.0</v>
      </c>
      <c r="C37" s="24" t="s">
        <v>795</v>
      </c>
      <c r="D37" s="33"/>
    </row>
    <row r="38">
      <c r="A38" s="5" t="s">
        <v>56</v>
      </c>
      <c r="B38" s="24">
        <v>350.0</v>
      </c>
      <c r="C38" s="24" t="s">
        <v>777</v>
      </c>
      <c r="D38" s="33"/>
    </row>
    <row r="39">
      <c r="A39" s="5" t="s">
        <v>41</v>
      </c>
      <c r="B39" s="1">
        <v>14.0</v>
      </c>
      <c r="C39" s="24"/>
      <c r="D39" s="33"/>
    </row>
    <row r="40">
      <c r="A40" s="5" t="s">
        <v>73</v>
      </c>
      <c r="B40" s="24">
        <v>350.0</v>
      </c>
      <c r="C40" s="24"/>
      <c r="D40" s="33"/>
    </row>
    <row r="41">
      <c r="A41" s="5" t="s">
        <v>56</v>
      </c>
      <c r="B41" s="24">
        <v>19.0</v>
      </c>
      <c r="C41" s="24" t="s">
        <v>1052</v>
      </c>
      <c r="D41" s="33"/>
    </row>
    <row r="42">
      <c r="A42" s="5" t="s">
        <v>36</v>
      </c>
      <c r="B42" s="24">
        <v>27.0</v>
      </c>
      <c r="C42" s="24"/>
      <c r="D42" s="33"/>
    </row>
    <row r="43">
      <c r="A43" s="5" t="s">
        <v>36</v>
      </c>
      <c r="B43" s="24">
        <v>35.0</v>
      </c>
      <c r="C43" s="24"/>
      <c r="D43" s="33"/>
    </row>
    <row r="44">
      <c r="A44" s="5" t="s">
        <v>42</v>
      </c>
      <c r="B44" s="24">
        <v>165.0</v>
      </c>
      <c r="C44" s="24"/>
      <c r="D44" s="33"/>
    </row>
    <row r="45">
      <c r="A45" s="5" t="s">
        <v>56</v>
      </c>
      <c r="B45" s="24">
        <v>150.0</v>
      </c>
      <c r="C45" s="24" t="s">
        <v>882</v>
      </c>
      <c r="D45" s="33"/>
    </row>
    <row r="46">
      <c r="A46" s="5" t="s">
        <v>56</v>
      </c>
      <c r="B46" s="24">
        <v>82.0</v>
      </c>
      <c r="C46" s="24" t="s">
        <v>1053</v>
      </c>
      <c r="D46" s="33"/>
    </row>
    <row r="47">
      <c r="A47" s="5" t="s">
        <v>42</v>
      </c>
      <c r="B47" s="24">
        <v>33.0</v>
      </c>
      <c r="C47" s="24"/>
      <c r="D47" s="33"/>
    </row>
    <row r="48">
      <c r="A48" s="5" t="s">
        <v>41</v>
      </c>
      <c r="B48" s="24">
        <v>6.0</v>
      </c>
      <c r="C48" s="24"/>
      <c r="D48" s="33"/>
    </row>
    <row r="49">
      <c r="A49" s="5" t="s">
        <v>56</v>
      </c>
      <c r="B49" s="24">
        <v>8.0</v>
      </c>
      <c r="C49" s="24" t="s">
        <v>1054</v>
      </c>
      <c r="D49" s="33"/>
    </row>
    <row r="50">
      <c r="A50" s="5" t="s">
        <v>41</v>
      </c>
      <c r="B50" s="24">
        <v>7.0</v>
      </c>
      <c r="C50" s="24"/>
      <c r="D50" s="33"/>
    </row>
    <row r="51">
      <c r="A51" s="5" t="s">
        <v>56</v>
      </c>
      <c r="B51" s="24">
        <v>91.0</v>
      </c>
      <c r="C51" s="24" t="s">
        <v>1055</v>
      </c>
      <c r="D51" s="33"/>
    </row>
    <row r="52">
      <c r="A52" s="5" t="s">
        <v>56</v>
      </c>
      <c r="B52" s="24">
        <v>35.0</v>
      </c>
      <c r="C52" s="24" t="s">
        <v>803</v>
      </c>
      <c r="D52" s="33"/>
    </row>
    <row r="53">
      <c r="A53" s="5" t="s">
        <v>56</v>
      </c>
      <c r="B53" s="24">
        <v>23.0</v>
      </c>
      <c r="C53" s="24" t="s">
        <v>1052</v>
      </c>
      <c r="D53" s="33"/>
    </row>
    <row r="54">
      <c r="A54" s="5" t="s">
        <v>36</v>
      </c>
      <c r="B54" s="24">
        <v>66.0</v>
      </c>
      <c r="C54" s="24"/>
      <c r="D54" s="33"/>
    </row>
    <row r="55">
      <c r="A55" s="5" t="s">
        <v>41</v>
      </c>
      <c r="B55" s="24">
        <v>17.0</v>
      </c>
      <c r="C55" s="24"/>
      <c r="D55" s="33"/>
    </row>
    <row r="56">
      <c r="A56" s="5" t="s">
        <v>56</v>
      </c>
      <c r="B56" s="24">
        <v>153.0</v>
      </c>
      <c r="C56" s="24" t="s">
        <v>917</v>
      </c>
      <c r="D56" s="33"/>
    </row>
    <row r="57">
      <c r="A57" s="5" t="s">
        <v>56</v>
      </c>
      <c r="B57" s="24">
        <v>142.0</v>
      </c>
      <c r="C57" s="24" t="s">
        <v>1056</v>
      </c>
      <c r="D57" s="33"/>
    </row>
    <row r="58">
      <c r="A58" s="5" t="s">
        <v>56</v>
      </c>
      <c r="B58" s="24">
        <v>80.0</v>
      </c>
      <c r="C58" s="24" t="s">
        <v>813</v>
      </c>
      <c r="D58" s="33"/>
    </row>
    <row r="59">
      <c r="A59" s="5" t="s">
        <v>36</v>
      </c>
      <c r="B59" s="24">
        <v>16.0</v>
      </c>
      <c r="C59" s="24" t="s">
        <v>987</v>
      </c>
      <c r="D59" s="33"/>
    </row>
    <row r="60">
      <c r="A60" s="5" t="s">
        <v>56</v>
      </c>
      <c r="B60" s="24">
        <v>12.0</v>
      </c>
      <c r="C60" s="24"/>
      <c r="D60" s="33"/>
    </row>
    <row r="61">
      <c r="A61" s="5" t="s">
        <v>55</v>
      </c>
      <c r="B61" s="24">
        <v>500.0</v>
      </c>
      <c r="C61" s="24"/>
      <c r="D61" s="33"/>
    </row>
    <row r="62">
      <c r="A62" s="5" t="s">
        <v>50</v>
      </c>
      <c r="B62" s="24">
        <v>100.0</v>
      </c>
      <c r="C62" s="24"/>
      <c r="D62" s="33"/>
    </row>
    <row r="63">
      <c r="A63" s="5" t="s">
        <v>56</v>
      </c>
      <c r="B63" s="24">
        <v>78.0</v>
      </c>
      <c r="C63" s="24" t="s">
        <v>1057</v>
      </c>
      <c r="D63" s="33"/>
    </row>
    <row r="64">
      <c r="A64" s="5" t="s">
        <v>56</v>
      </c>
      <c r="B64" s="24">
        <v>378.0</v>
      </c>
      <c r="C64" s="24" t="s">
        <v>800</v>
      </c>
      <c r="D64" s="33"/>
    </row>
    <row r="65">
      <c r="A65" s="5" t="s">
        <v>51</v>
      </c>
      <c r="B65" s="24">
        <v>270.0</v>
      </c>
      <c r="C65" s="24"/>
      <c r="D65" s="33"/>
    </row>
    <row r="66">
      <c r="A66" s="5" t="s">
        <v>56</v>
      </c>
      <c r="B66" s="24">
        <v>4.0</v>
      </c>
      <c r="C66" s="24"/>
      <c r="D66" s="33"/>
    </row>
    <row r="67">
      <c r="A67" s="5" t="s">
        <v>73</v>
      </c>
      <c r="B67" s="24">
        <v>1800.0</v>
      </c>
      <c r="C67" s="24"/>
      <c r="D67" s="33"/>
    </row>
    <row r="68">
      <c r="A68" s="5" t="s">
        <v>56</v>
      </c>
      <c r="B68" s="24">
        <v>92.0</v>
      </c>
      <c r="C68" s="24" t="s">
        <v>823</v>
      </c>
      <c r="D68" s="33"/>
    </row>
    <row r="69">
      <c r="A69" s="5" t="s">
        <v>56</v>
      </c>
      <c r="B69" s="24">
        <v>100.0</v>
      </c>
      <c r="C69" s="24" t="s">
        <v>1058</v>
      </c>
      <c r="D69" s="33"/>
    </row>
    <row r="70">
      <c r="A70" s="5" t="s">
        <v>56</v>
      </c>
      <c r="B70" s="24">
        <v>305.0</v>
      </c>
      <c r="C70" s="24" t="s">
        <v>1059</v>
      </c>
      <c r="D70" s="35"/>
    </row>
    <row r="71">
      <c r="A71" s="5" t="s">
        <v>56</v>
      </c>
      <c r="B71" s="24">
        <v>128.0</v>
      </c>
      <c r="C71" s="24" t="s">
        <v>1060</v>
      </c>
      <c r="D71" s="33"/>
    </row>
    <row r="72">
      <c r="A72" s="5" t="s">
        <v>56</v>
      </c>
      <c r="B72" s="24">
        <v>160.0</v>
      </c>
      <c r="C72" s="24" t="s">
        <v>1061</v>
      </c>
      <c r="D72" s="33"/>
    </row>
    <row r="73">
      <c r="A73" s="5" t="s">
        <v>36</v>
      </c>
      <c r="B73" s="24">
        <v>27.0</v>
      </c>
      <c r="C73" s="24"/>
      <c r="D73" s="33"/>
    </row>
    <row r="74">
      <c r="A74" s="5" t="s">
        <v>56</v>
      </c>
      <c r="B74" s="24">
        <v>38.0</v>
      </c>
      <c r="C74" s="24" t="s">
        <v>1062</v>
      </c>
      <c r="D74" s="33"/>
    </row>
    <row r="75">
      <c r="A75" s="5" t="s">
        <v>47</v>
      </c>
      <c r="B75" s="24">
        <v>15.0</v>
      </c>
      <c r="C75" s="24"/>
      <c r="D75" s="33"/>
    </row>
    <row r="76">
      <c r="A76" s="5" t="s">
        <v>42</v>
      </c>
      <c r="B76" s="24">
        <v>16.0</v>
      </c>
      <c r="C76" s="24"/>
      <c r="D76" s="25"/>
    </row>
    <row r="77">
      <c r="A77" s="5" t="s">
        <v>56</v>
      </c>
      <c r="B77" s="24">
        <v>26.0</v>
      </c>
      <c r="C77" s="24" t="s">
        <v>1063</v>
      </c>
      <c r="D77" s="25"/>
    </row>
    <row r="78">
      <c r="A78" s="5" t="s">
        <v>56</v>
      </c>
      <c r="B78" s="24">
        <v>46.0</v>
      </c>
      <c r="C78" s="24" t="s">
        <v>1064</v>
      </c>
      <c r="D78" s="25"/>
    </row>
    <row r="79">
      <c r="A79" s="5" t="s">
        <v>36</v>
      </c>
      <c r="B79" s="24">
        <v>65.0</v>
      </c>
      <c r="C79" s="24"/>
      <c r="D79" s="25"/>
    </row>
    <row r="80">
      <c r="A80" s="5" t="s">
        <v>56</v>
      </c>
      <c r="B80" s="24">
        <v>25.0</v>
      </c>
      <c r="C80" s="24" t="s">
        <v>1065</v>
      </c>
      <c r="D80" s="25"/>
    </row>
    <row r="81">
      <c r="A81" s="5" t="s">
        <v>36</v>
      </c>
      <c r="B81" s="24">
        <v>102.0</v>
      </c>
      <c r="C81" s="24"/>
      <c r="D81" s="25"/>
    </row>
    <row r="82">
      <c r="A82" s="5" t="s">
        <v>56</v>
      </c>
      <c r="B82" s="24">
        <v>135.0</v>
      </c>
      <c r="C82" s="24" t="s">
        <v>1066</v>
      </c>
      <c r="D82" s="25"/>
    </row>
    <row r="83">
      <c r="A83" s="5" t="s">
        <v>56</v>
      </c>
      <c r="B83" s="24">
        <v>360.0</v>
      </c>
      <c r="C83" s="24" t="s">
        <v>776</v>
      </c>
      <c r="D83" s="25"/>
    </row>
    <row r="84">
      <c r="A84" s="5" t="s">
        <v>36</v>
      </c>
      <c r="B84" s="24">
        <v>12.0</v>
      </c>
      <c r="C84" s="24"/>
      <c r="D84" s="25"/>
    </row>
    <row r="85">
      <c r="A85" s="5" t="s">
        <v>80</v>
      </c>
      <c r="B85" s="24">
        <v>5.0</v>
      </c>
      <c r="C85" s="24"/>
      <c r="D85" s="25"/>
    </row>
    <row r="86">
      <c r="A86" s="5" t="s">
        <v>36</v>
      </c>
      <c r="B86" s="24">
        <v>16.0</v>
      </c>
      <c r="C86" s="24"/>
      <c r="D86" s="25"/>
    </row>
    <row r="87">
      <c r="A87" s="5" t="s">
        <v>36</v>
      </c>
      <c r="B87" s="24">
        <v>13.0</v>
      </c>
      <c r="C87" s="24"/>
      <c r="D87" s="25"/>
    </row>
    <row r="88">
      <c r="A88" s="5" t="s">
        <v>148</v>
      </c>
      <c r="B88" s="24">
        <v>25.0</v>
      </c>
      <c r="C88" s="24"/>
      <c r="D88" s="25"/>
    </row>
    <row r="89">
      <c r="A89" s="5" t="s">
        <v>36</v>
      </c>
      <c r="B89" s="24">
        <v>26.0</v>
      </c>
      <c r="C89" s="13"/>
      <c r="D89" s="25"/>
    </row>
    <row r="90">
      <c r="A90" s="5" t="s">
        <v>36</v>
      </c>
      <c r="B90" s="24">
        <v>141.0</v>
      </c>
      <c r="C90" s="24"/>
      <c r="D90" s="25"/>
    </row>
    <row r="91">
      <c r="A91" s="5" t="s">
        <v>41</v>
      </c>
      <c r="B91" s="24">
        <v>24.0</v>
      </c>
      <c r="C91" s="24"/>
      <c r="D91" s="25"/>
    </row>
    <row r="92">
      <c r="A92" s="5" t="s">
        <v>56</v>
      </c>
      <c r="B92" s="24">
        <v>80.0</v>
      </c>
      <c r="C92" s="24" t="s">
        <v>1067</v>
      </c>
      <c r="D92" s="25"/>
    </row>
    <row r="93">
      <c r="A93" s="5" t="s">
        <v>42</v>
      </c>
      <c r="B93" s="24">
        <v>14.0</v>
      </c>
      <c r="C93" s="13"/>
      <c r="D93" s="25"/>
    </row>
    <row r="94">
      <c r="A94" s="5" t="s">
        <v>36</v>
      </c>
      <c r="B94" s="24">
        <v>25.0</v>
      </c>
      <c r="C94" s="24"/>
      <c r="D94" s="25"/>
    </row>
    <row r="95">
      <c r="A95" s="5" t="s">
        <v>56</v>
      </c>
      <c r="B95" s="24">
        <v>1076.0</v>
      </c>
      <c r="C95" s="24" t="s">
        <v>1068</v>
      </c>
      <c r="D95" s="25"/>
    </row>
    <row r="96">
      <c r="A96" s="5"/>
      <c r="B96" s="24"/>
      <c r="C96" s="13"/>
      <c r="D96" s="11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autoFilter ref="$A$1:$B$999"/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24 A26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16117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50</v>
      </c>
      <c r="B3" s="24">
        <v>1383.0</v>
      </c>
      <c r="C3" s="24"/>
      <c r="D3" s="33"/>
      <c r="E3" s="1" t="s">
        <v>34</v>
      </c>
      <c r="F3" s="8">
        <v>41338.0</v>
      </c>
      <c r="H3" s="2">
        <f>Zbiorczy!D41</f>
        <v>123753</v>
      </c>
      <c r="J3" s="3">
        <f t="shared" ref="J3:J7" si="1">SUMIF($A$3:A$98, K3, B$3:B$98)</f>
        <v>2614</v>
      </c>
      <c r="K3" s="1" t="s">
        <v>35</v>
      </c>
      <c r="M3" s="3">
        <f t="shared" ref="M3:M8" si="2">SUMIF($A$3:A$98, N3, B$3:B$98)</f>
        <v>1499</v>
      </c>
      <c r="N3" s="1" t="s">
        <v>36</v>
      </c>
    </row>
    <row r="4">
      <c r="A4" s="5" t="s">
        <v>50</v>
      </c>
      <c r="B4" s="24">
        <v>315.0</v>
      </c>
      <c r="C4" s="24"/>
      <c r="D4" s="33"/>
      <c r="F4" s="8"/>
      <c r="J4" s="3">
        <f t="shared" si="1"/>
        <v>4661</v>
      </c>
      <c r="K4" s="1" t="s">
        <v>40</v>
      </c>
      <c r="M4" s="3">
        <f t="shared" si="2"/>
        <v>50</v>
      </c>
      <c r="N4" s="1" t="s">
        <v>41</v>
      </c>
    </row>
    <row r="5">
      <c r="A5" s="5" t="s">
        <v>47</v>
      </c>
      <c r="B5" s="24">
        <v>2335.0</v>
      </c>
      <c r="C5" s="24"/>
      <c r="D5" s="35"/>
      <c r="J5" s="3">
        <f t="shared" si="1"/>
        <v>6091</v>
      </c>
      <c r="K5" s="1" t="s">
        <v>46</v>
      </c>
      <c r="M5" s="3">
        <f t="shared" si="2"/>
        <v>2417</v>
      </c>
      <c r="N5" s="1" t="s">
        <v>47</v>
      </c>
    </row>
    <row r="6">
      <c r="A6" s="5" t="s">
        <v>51</v>
      </c>
      <c r="B6" s="24">
        <v>180.0</v>
      </c>
      <c r="C6" s="24"/>
      <c r="D6" s="35"/>
      <c r="J6" s="3">
        <f t="shared" si="1"/>
        <v>2251</v>
      </c>
      <c r="K6" s="1" t="s">
        <v>50</v>
      </c>
      <c r="M6" s="3">
        <f t="shared" si="2"/>
        <v>960</v>
      </c>
      <c r="N6" s="1" t="s">
        <v>51</v>
      </c>
    </row>
    <row r="7">
      <c r="A7" s="5" t="s">
        <v>58</v>
      </c>
      <c r="B7" s="24">
        <v>230.0</v>
      </c>
      <c r="C7" s="28" t="s">
        <v>782</v>
      </c>
      <c r="D7" s="33"/>
      <c r="J7" s="3">
        <f t="shared" si="1"/>
        <v>500</v>
      </c>
      <c r="K7" s="1" t="s">
        <v>55</v>
      </c>
      <c r="M7" s="3">
        <f t="shared" si="2"/>
        <v>9858</v>
      </c>
      <c r="N7" s="1" t="s">
        <v>56</v>
      </c>
    </row>
    <row r="8">
      <c r="A8" s="5" t="s">
        <v>58</v>
      </c>
      <c r="B8" s="24">
        <v>12.0</v>
      </c>
      <c r="C8" s="5" t="s">
        <v>783</v>
      </c>
      <c r="D8" s="33"/>
      <c r="M8" s="3">
        <f t="shared" si="2"/>
        <v>2417</v>
      </c>
      <c r="N8" s="1" t="s">
        <v>47</v>
      </c>
    </row>
    <row r="9">
      <c r="A9" s="5" t="s">
        <v>56</v>
      </c>
      <c r="B9" s="24">
        <v>730.0</v>
      </c>
      <c r="C9" s="24" t="s">
        <v>1069</v>
      </c>
      <c r="D9" s="33"/>
    </row>
    <row r="10">
      <c r="A10" s="5" t="s">
        <v>56</v>
      </c>
      <c r="B10" s="24">
        <v>592.0</v>
      </c>
      <c r="C10" s="24" t="s">
        <v>1070</v>
      </c>
      <c r="D10" s="35"/>
    </row>
    <row r="11">
      <c r="A11" s="5" t="s">
        <v>36</v>
      </c>
      <c r="B11" s="24">
        <v>141.0</v>
      </c>
      <c r="C11" s="24"/>
      <c r="D11" s="35"/>
    </row>
    <row r="12">
      <c r="A12" s="5" t="s">
        <v>41</v>
      </c>
      <c r="B12" s="24">
        <v>20.0</v>
      </c>
      <c r="C12" s="24"/>
      <c r="D12" s="33"/>
    </row>
    <row r="13">
      <c r="A13" s="5" t="s">
        <v>42</v>
      </c>
      <c r="B13" s="24">
        <v>145.0</v>
      </c>
      <c r="C13" s="24"/>
      <c r="D13" s="33"/>
    </row>
    <row r="14">
      <c r="A14" s="5" t="s">
        <v>50</v>
      </c>
      <c r="B14" s="24">
        <v>350.0</v>
      </c>
      <c r="C14" s="24"/>
      <c r="D14" s="33"/>
    </row>
    <row r="15">
      <c r="A15" s="5" t="s">
        <v>41</v>
      </c>
      <c r="B15" s="24">
        <v>10.0</v>
      </c>
      <c r="C15" s="24"/>
      <c r="D15" s="33"/>
    </row>
    <row r="16">
      <c r="A16" s="5" t="s">
        <v>56</v>
      </c>
      <c r="B16" s="24">
        <v>165.0</v>
      </c>
      <c r="C16" s="24" t="s">
        <v>1071</v>
      </c>
      <c r="D16" s="33"/>
    </row>
    <row r="17">
      <c r="A17" s="5" t="s">
        <v>56</v>
      </c>
      <c r="B17" s="24">
        <v>250.0</v>
      </c>
      <c r="C17" s="24" t="s">
        <v>890</v>
      </c>
      <c r="D17" s="25"/>
    </row>
    <row r="18">
      <c r="A18" s="5" t="s">
        <v>73</v>
      </c>
      <c r="B18" s="24">
        <v>520.0</v>
      </c>
      <c r="C18" s="24" t="s">
        <v>1072</v>
      </c>
      <c r="D18" s="33"/>
    </row>
    <row r="19">
      <c r="A19" s="5" t="s">
        <v>56</v>
      </c>
      <c r="B19" s="5">
        <v>27.0</v>
      </c>
      <c r="C19" s="24"/>
      <c r="D19" s="33"/>
    </row>
    <row r="20">
      <c r="A20" s="5" t="s">
        <v>36</v>
      </c>
      <c r="B20" s="37">
        <v>26.0</v>
      </c>
      <c r="C20" s="24"/>
      <c r="D20" s="33"/>
    </row>
    <row r="21">
      <c r="A21" s="5" t="s">
        <v>56</v>
      </c>
      <c r="B21" s="24">
        <v>700.0</v>
      </c>
      <c r="C21" s="24" t="s">
        <v>1073</v>
      </c>
      <c r="D21" s="33"/>
    </row>
    <row r="22">
      <c r="A22" s="5" t="s">
        <v>36</v>
      </c>
      <c r="B22" s="24">
        <v>41.0</v>
      </c>
      <c r="C22" s="24"/>
      <c r="D22" s="33"/>
    </row>
    <row r="23">
      <c r="A23" s="5" t="s">
        <v>50</v>
      </c>
      <c r="B23" s="24">
        <v>100.0</v>
      </c>
      <c r="C23" s="24"/>
      <c r="D23" s="33"/>
    </row>
    <row r="24">
      <c r="A24" s="5" t="s">
        <v>41</v>
      </c>
      <c r="B24" s="24">
        <v>20.0</v>
      </c>
      <c r="C24" s="24"/>
      <c r="D24" s="33"/>
    </row>
    <row r="25">
      <c r="A25" s="1" t="s">
        <v>1006</v>
      </c>
      <c r="B25" s="1">
        <v>51.0</v>
      </c>
      <c r="C25" s="24"/>
      <c r="D25" s="33"/>
    </row>
    <row r="26">
      <c r="A26" s="5" t="s">
        <v>36</v>
      </c>
      <c r="B26" s="24">
        <v>16.0</v>
      </c>
      <c r="C26" s="24"/>
      <c r="D26" s="33"/>
    </row>
    <row r="27">
      <c r="A27" s="5" t="s">
        <v>56</v>
      </c>
      <c r="B27" s="24">
        <v>106.0</v>
      </c>
      <c r="C27" s="24" t="s">
        <v>1074</v>
      </c>
      <c r="D27" s="33"/>
    </row>
    <row r="28">
      <c r="A28" s="5" t="s">
        <v>47</v>
      </c>
      <c r="B28" s="24">
        <v>70.0</v>
      </c>
      <c r="C28" s="24"/>
      <c r="D28" s="33"/>
    </row>
    <row r="29">
      <c r="A29" s="5" t="s">
        <v>36</v>
      </c>
      <c r="B29" s="37">
        <v>130.0</v>
      </c>
      <c r="C29" s="24"/>
      <c r="D29" s="35"/>
    </row>
    <row r="30">
      <c r="A30" s="5" t="s">
        <v>36</v>
      </c>
      <c r="B30" s="37">
        <v>70.0</v>
      </c>
      <c r="C30" s="24"/>
      <c r="D30" s="33"/>
    </row>
    <row r="31">
      <c r="A31" s="5" t="s">
        <v>772</v>
      </c>
      <c r="B31" s="24">
        <v>20.0</v>
      </c>
      <c r="C31" s="24"/>
      <c r="D31" s="33"/>
    </row>
    <row r="32">
      <c r="A32" s="5" t="s">
        <v>56</v>
      </c>
      <c r="B32" s="24">
        <v>550.0</v>
      </c>
      <c r="C32" s="24" t="s">
        <v>1075</v>
      </c>
      <c r="D32" s="33"/>
    </row>
    <row r="33">
      <c r="A33" s="5" t="s">
        <v>35</v>
      </c>
      <c r="B33" s="24">
        <v>2614.0</v>
      </c>
      <c r="C33" s="24"/>
      <c r="D33" s="33"/>
    </row>
    <row r="34">
      <c r="A34" s="5" t="s">
        <v>40</v>
      </c>
      <c r="B34" s="30">
        <v>4661.0</v>
      </c>
      <c r="C34" s="24"/>
      <c r="D34" s="33"/>
    </row>
    <row r="35">
      <c r="A35" s="5" t="s">
        <v>46</v>
      </c>
      <c r="B35" s="30">
        <v>6091.0</v>
      </c>
      <c r="C35" s="24"/>
      <c r="D35" s="33"/>
    </row>
    <row r="36">
      <c r="A36" s="5" t="s">
        <v>56</v>
      </c>
      <c r="B36" s="24">
        <v>40.0</v>
      </c>
      <c r="C36" s="24" t="s">
        <v>956</v>
      </c>
      <c r="D36" s="33"/>
    </row>
    <row r="37">
      <c r="A37" s="5" t="s">
        <v>51</v>
      </c>
      <c r="B37" s="38">
        <v>340.0</v>
      </c>
      <c r="C37" s="24"/>
      <c r="D37" s="33"/>
    </row>
    <row r="38">
      <c r="A38" s="5" t="s">
        <v>51</v>
      </c>
      <c r="B38" s="24">
        <v>210.0</v>
      </c>
      <c r="C38" s="24"/>
      <c r="D38" s="33"/>
    </row>
    <row r="39">
      <c r="A39" s="5" t="s">
        <v>55</v>
      </c>
      <c r="B39" s="1">
        <v>500.0</v>
      </c>
      <c r="C39" s="24"/>
      <c r="D39" s="33"/>
    </row>
    <row r="40">
      <c r="A40" s="5" t="s">
        <v>56</v>
      </c>
      <c r="B40" s="24">
        <v>550.0</v>
      </c>
      <c r="C40" s="24" t="s">
        <v>1076</v>
      </c>
      <c r="D40" s="33"/>
    </row>
    <row r="41">
      <c r="A41" s="5" t="s">
        <v>307</v>
      </c>
      <c r="B41" s="24">
        <v>80.0</v>
      </c>
      <c r="C41" s="24" t="s">
        <v>813</v>
      </c>
      <c r="D41" s="33"/>
    </row>
    <row r="42">
      <c r="A42" s="5" t="s">
        <v>36</v>
      </c>
      <c r="B42" s="24">
        <v>54.0</v>
      </c>
      <c r="C42" s="24"/>
      <c r="D42" s="33"/>
    </row>
    <row r="43">
      <c r="A43" s="5" t="s">
        <v>56</v>
      </c>
      <c r="B43" s="24">
        <v>80.0</v>
      </c>
      <c r="C43" s="24" t="s">
        <v>1077</v>
      </c>
      <c r="D43" s="33"/>
    </row>
    <row r="44">
      <c r="A44" s="5" t="s">
        <v>37</v>
      </c>
      <c r="B44" s="24">
        <v>60.0</v>
      </c>
      <c r="C44" s="24"/>
      <c r="D44" s="33"/>
    </row>
    <row r="45">
      <c r="A45" s="5" t="s">
        <v>42</v>
      </c>
      <c r="B45" s="24">
        <v>40.0</v>
      </c>
      <c r="C45" s="24"/>
      <c r="D45" s="33"/>
    </row>
    <row r="46">
      <c r="A46" s="5" t="s">
        <v>47</v>
      </c>
      <c r="B46" s="24">
        <v>12.0</v>
      </c>
      <c r="C46" s="24"/>
      <c r="D46" s="33"/>
    </row>
    <row r="47">
      <c r="A47" s="5" t="s">
        <v>36</v>
      </c>
      <c r="B47" s="24">
        <v>50.0</v>
      </c>
      <c r="C47" s="24"/>
      <c r="D47" s="33"/>
    </row>
    <row r="48">
      <c r="A48" s="5" t="s">
        <v>58</v>
      </c>
      <c r="B48" s="24">
        <v>15.0</v>
      </c>
      <c r="C48" s="24"/>
      <c r="D48" s="33"/>
    </row>
    <row r="49">
      <c r="A49" s="5" t="s">
        <v>36</v>
      </c>
      <c r="B49" s="24">
        <v>16.0</v>
      </c>
      <c r="C49" s="24"/>
      <c r="D49" s="33"/>
    </row>
    <row r="50">
      <c r="A50" s="5" t="s">
        <v>36</v>
      </c>
      <c r="B50" s="24">
        <v>77.0</v>
      </c>
      <c r="C50" s="24"/>
      <c r="D50" s="33"/>
    </row>
    <row r="51">
      <c r="A51" s="5" t="s">
        <v>56</v>
      </c>
      <c r="B51" s="24">
        <v>60.0</v>
      </c>
      <c r="C51" s="24" t="s">
        <v>799</v>
      </c>
      <c r="D51" s="33"/>
    </row>
    <row r="52">
      <c r="A52" s="5" t="s">
        <v>56</v>
      </c>
      <c r="B52" s="24">
        <v>50.0</v>
      </c>
      <c r="C52" s="24" t="s">
        <v>1078</v>
      </c>
      <c r="D52" s="33"/>
    </row>
    <row r="53">
      <c r="A53" s="5" t="s">
        <v>36</v>
      </c>
      <c r="B53" s="24">
        <v>110.0</v>
      </c>
      <c r="C53" s="24"/>
      <c r="D53" s="33"/>
    </row>
    <row r="54">
      <c r="A54" s="5" t="s">
        <v>42</v>
      </c>
      <c r="B54" s="24">
        <v>100.0</v>
      </c>
      <c r="C54" s="24"/>
      <c r="D54" s="33"/>
    </row>
    <row r="55">
      <c r="A55" s="5" t="s">
        <v>56</v>
      </c>
      <c r="B55" s="24">
        <v>200.0</v>
      </c>
      <c r="C55" s="24" t="s">
        <v>1076</v>
      </c>
      <c r="D55" s="33"/>
    </row>
    <row r="56">
      <c r="A56" s="5" t="s">
        <v>56</v>
      </c>
      <c r="B56" s="24">
        <v>940.0</v>
      </c>
      <c r="C56" s="24" t="s">
        <v>1079</v>
      </c>
      <c r="D56" s="33"/>
    </row>
    <row r="57">
      <c r="A57" s="5" t="s">
        <v>36</v>
      </c>
      <c r="B57" s="24">
        <v>260.0</v>
      </c>
      <c r="C57" s="24"/>
      <c r="D57" s="33"/>
    </row>
    <row r="58">
      <c r="A58" s="5" t="s">
        <v>50</v>
      </c>
      <c r="B58" s="24">
        <v>103.0</v>
      </c>
      <c r="C58" s="24"/>
      <c r="D58" s="33"/>
    </row>
    <row r="59">
      <c r="A59" s="5" t="s">
        <v>56</v>
      </c>
      <c r="B59" s="24">
        <v>10.0</v>
      </c>
      <c r="C59" s="24"/>
      <c r="D59" s="33"/>
    </row>
    <row r="60">
      <c r="A60" s="5" t="s">
        <v>36</v>
      </c>
      <c r="B60" s="24">
        <v>35.0</v>
      </c>
      <c r="C60" s="24"/>
      <c r="D60" s="33"/>
    </row>
    <row r="61">
      <c r="A61" s="5" t="s">
        <v>307</v>
      </c>
      <c r="B61" s="24">
        <v>100.0</v>
      </c>
      <c r="C61" s="24"/>
      <c r="D61" s="33"/>
    </row>
    <row r="62">
      <c r="A62" s="5" t="s">
        <v>36</v>
      </c>
      <c r="B62" s="24">
        <v>55.0</v>
      </c>
      <c r="C62" s="24"/>
      <c r="D62" s="33"/>
    </row>
    <row r="63">
      <c r="A63" s="5" t="s">
        <v>36</v>
      </c>
      <c r="B63" s="24">
        <v>8.0</v>
      </c>
      <c r="C63" s="24"/>
      <c r="D63" s="33"/>
    </row>
    <row r="64">
      <c r="A64" s="5" t="s">
        <v>56</v>
      </c>
      <c r="B64" s="24">
        <v>108.0</v>
      </c>
      <c r="C64" s="24" t="s">
        <v>1080</v>
      </c>
      <c r="D64" s="33"/>
    </row>
    <row r="65">
      <c r="A65" s="5" t="s">
        <v>56</v>
      </c>
      <c r="B65" s="24">
        <v>150.0</v>
      </c>
      <c r="C65" s="24" t="s">
        <v>1081</v>
      </c>
      <c r="D65" s="33"/>
    </row>
    <row r="66">
      <c r="A66" s="5" t="s">
        <v>36</v>
      </c>
      <c r="B66" s="24">
        <v>246.0</v>
      </c>
      <c r="C66" s="24"/>
      <c r="D66" s="33"/>
    </row>
    <row r="67">
      <c r="A67" s="5" t="s">
        <v>56</v>
      </c>
      <c r="B67" s="24">
        <v>70.0</v>
      </c>
      <c r="C67" s="24" t="s">
        <v>1082</v>
      </c>
      <c r="D67" s="33"/>
    </row>
    <row r="68">
      <c r="A68" s="5" t="s">
        <v>36</v>
      </c>
      <c r="B68" s="24">
        <v>44.0</v>
      </c>
      <c r="C68" s="24"/>
      <c r="D68" s="33"/>
    </row>
    <row r="69">
      <c r="A69" s="5" t="s">
        <v>56</v>
      </c>
      <c r="B69" s="24">
        <v>20.0</v>
      </c>
      <c r="C69" s="24" t="s">
        <v>1083</v>
      </c>
      <c r="D69" s="33"/>
    </row>
    <row r="70">
      <c r="A70" s="5" t="s">
        <v>56</v>
      </c>
      <c r="B70" s="24">
        <v>150.0</v>
      </c>
      <c r="C70" s="24" t="s">
        <v>1084</v>
      </c>
      <c r="D70" s="35"/>
    </row>
    <row r="71">
      <c r="A71" s="5" t="s">
        <v>56</v>
      </c>
      <c r="B71" s="24">
        <v>3741.0</v>
      </c>
      <c r="C71" s="24" t="s">
        <v>1085</v>
      </c>
      <c r="D71" s="33"/>
    </row>
    <row r="72">
      <c r="A72" s="5" t="s">
        <v>36</v>
      </c>
      <c r="B72" s="24">
        <v>85.0</v>
      </c>
      <c r="C72" s="24"/>
      <c r="D72" s="33"/>
    </row>
    <row r="73">
      <c r="A73" s="5" t="s">
        <v>80</v>
      </c>
      <c r="B73" s="24">
        <v>24.0</v>
      </c>
      <c r="C73" s="24"/>
      <c r="D73" s="33"/>
    </row>
    <row r="74">
      <c r="A74" s="5" t="s">
        <v>56</v>
      </c>
      <c r="B74" s="24">
        <v>12.0</v>
      </c>
      <c r="C74" s="24" t="s">
        <v>1086</v>
      </c>
      <c r="D74" s="33"/>
    </row>
    <row r="75">
      <c r="A75" s="5" t="s">
        <v>56</v>
      </c>
      <c r="B75" s="24">
        <v>500.0</v>
      </c>
      <c r="C75" s="24" t="s">
        <v>777</v>
      </c>
      <c r="D75" s="33"/>
    </row>
    <row r="76">
      <c r="A76" s="5" t="s">
        <v>36</v>
      </c>
      <c r="B76" s="24">
        <v>35.0</v>
      </c>
      <c r="C76" s="24"/>
      <c r="D76" s="25"/>
    </row>
    <row r="77">
      <c r="A77" s="5" t="s">
        <v>56</v>
      </c>
      <c r="B77" s="24">
        <v>57.0</v>
      </c>
      <c r="C77" s="24" t="s">
        <v>869</v>
      </c>
      <c r="D77" s="25"/>
    </row>
    <row r="78">
      <c r="A78" s="5" t="s">
        <v>148</v>
      </c>
      <c r="B78" s="24">
        <v>77.0</v>
      </c>
      <c r="C78" s="24"/>
      <c r="D78" s="25"/>
    </row>
    <row r="79">
      <c r="A79" s="5" t="s">
        <v>51</v>
      </c>
      <c r="B79" s="24">
        <v>230.0</v>
      </c>
      <c r="C79" s="24"/>
      <c r="D79" s="25"/>
    </row>
    <row r="80">
      <c r="A80" s="5" t="s">
        <v>58</v>
      </c>
      <c r="B80" s="24">
        <v>290.0</v>
      </c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24 A26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12085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51</v>
      </c>
      <c r="B3" s="24">
        <v>194.0</v>
      </c>
      <c r="C3" s="24"/>
      <c r="D3" s="33"/>
      <c r="E3" s="1" t="s">
        <v>34</v>
      </c>
      <c r="F3" s="8">
        <v>22078.0</v>
      </c>
      <c r="H3" s="2">
        <f>Zbiorczy!D40</f>
        <v>133521</v>
      </c>
      <c r="J3" s="3">
        <f t="shared" ref="J3:J7" si="1">SUMIF($A$3:A$98, K3, B$3:B$98)</f>
        <v>2100</v>
      </c>
      <c r="K3" s="1" t="s">
        <v>35</v>
      </c>
      <c r="M3" s="3">
        <f t="shared" ref="M3:M8" si="2">SUMIF($A$3:A$98, N3, B$3:B$98)</f>
        <v>574</v>
      </c>
      <c r="N3" s="1" t="s">
        <v>36</v>
      </c>
    </row>
    <row r="4">
      <c r="A4" s="5" t="s">
        <v>58</v>
      </c>
      <c r="B4" s="24">
        <v>300.0</v>
      </c>
      <c r="C4" s="24"/>
      <c r="D4" s="33"/>
      <c r="E4" s="1" t="s">
        <v>1087</v>
      </c>
      <c r="F4" s="8">
        <v>0.0</v>
      </c>
      <c r="J4" s="3">
        <f t="shared" si="1"/>
        <v>3343</v>
      </c>
      <c r="K4" s="1" t="s">
        <v>40</v>
      </c>
      <c r="M4" s="3">
        <f t="shared" si="2"/>
        <v>34</v>
      </c>
      <c r="N4" s="1" t="s">
        <v>41</v>
      </c>
    </row>
    <row r="5">
      <c r="A5" s="5" t="s">
        <v>36</v>
      </c>
      <c r="B5" s="24">
        <v>185.0</v>
      </c>
      <c r="C5" s="24"/>
      <c r="D5" s="35"/>
      <c r="E5" s="1" t="s">
        <v>1088</v>
      </c>
      <c r="J5" s="3">
        <f t="shared" si="1"/>
        <v>3675</v>
      </c>
      <c r="K5" s="1" t="s">
        <v>46</v>
      </c>
      <c r="M5" s="3">
        <f t="shared" si="2"/>
        <v>2644</v>
      </c>
      <c r="N5" s="1" t="s">
        <v>47</v>
      </c>
    </row>
    <row r="6">
      <c r="A6" s="5" t="s">
        <v>36</v>
      </c>
      <c r="B6" s="24">
        <v>128.0</v>
      </c>
      <c r="C6" s="24"/>
      <c r="D6" s="35"/>
      <c r="J6" s="3">
        <f t="shared" si="1"/>
        <v>2967</v>
      </c>
      <c r="K6" s="1" t="s">
        <v>50</v>
      </c>
      <c r="M6" s="3">
        <f t="shared" si="2"/>
        <v>654</v>
      </c>
      <c r="N6" s="1" t="s">
        <v>51</v>
      </c>
    </row>
    <row r="7">
      <c r="A7" s="5" t="s">
        <v>56</v>
      </c>
      <c r="B7" s="24">
        <v>1000.0</v>
      </c>
      <c r="C7" s="28" t="s">
        <v>777</v>
      </c>
      <c r="D7" s="33"/>
      <c r="J7" s="3">
        <f t="shared" si="1"/>
        <v>0</v>
      </c>
      <c r="K7" s="1" t="s">
        <v>55</v>
      </c>
      <c r="M7" s="3">
        <f t="shared" si="2"/>
        <v>7555</v>
      </c>
      <c r="N7" s="1" t="s">
        <v>56</v>
      </c>
    </row>
    <row r="8">
      <c r="A8" s="5" t="s">
        <v>56</v>
      </c>
      <c r="B8" s="24">
        <v>200.0</v>
      </c>
      <c r="C8" s="5" t="s">
        <v>1089</v>
      </c>
      <c r="D8" s="33"/>
      <c r="M8" s="3">
        <f t="shared" si="2"/>
        <v>2644</v>
      </c>
      <c r="N8" s="1" t="s">
        <v>47</v>
      </c>
    </row>
    <row r="9">
      <c r="A9" s="5" t="s">
        <v>47</v>
      </c>
      <c r="B9" s="24">
        <v>2371.0</v>
      </c>
      <c r="C9" s="24"/>
      <c r="D9" s="33"/>
    </row>
    <row r="10">
      <c r="A10" s="5" t="s">
        <v>50</v>
      </c>
      <c r="B10" s="24">
        <v>350.0</v>
      </c>
      <c r="C10" s="24"/>
      <c r="D10" s="35"/>
    </row>
    <row r="11">
      <c r="A11" s="5" t="s">
        <v>50</v>
      </c>
      <c r="B11" s="24">
        <v>1359.0</v>
      </c>
      <c r="C11" s="24"/>
      <c r="D11" s="35"/>
    </row>
    <row r="12">
      <c r="A12" s="5" t="s">
        <v>50</v>
      </c>
      <c r="B12" s="24">
        <v>803.0</v>
      </c>
      <c r="C12" s="24"/>
      <c r="D12" s="33"/>
    </row>
    <row r="13">
      <c r="A13" s="5" t="s">
        <v>56</v>
      </c>
      <c r="B13" s="24">
        <v>54.0</v>
      </c>
      <c r="C13" s="24" t="s">
        <v>869</v>
      </c>
      <c r="D13" s="33"/>
    </row>
    <row r="14">
      <c r="A14" s="5" t="s">
        <v>58</v>
      </c>
      <c r="B14" s="24">
        <v>6500.0</v>
      </c>
      <c r="C14" s="24" t="s">
        <v>1090</v>
      </c>
      <c r="D14" s="33"/>
    </row>
    <row r="15">
      <c r="A15" s="5" t="s">
        <v>36</v>
      </c>
      <c r="B15" s="24">
        <v>60.0</v>
      </c>
      <c r="C15" s="24"/>
      <c r="D15" s="33"/>
    </row>
    <row r="16">
      <c r="A16" s="5" t="s">
        <v>58</v>
      </c>
      <c r="B16" s="24">
        <v>240.0</v>
      </c>
      <c r="C16" s="24" t="s">
        <v>815</v>
      </c>
      <c r="D16" s="33"/>
    </row>
    <row r="17">
      <c r="A17" s="5" t="s">
        <v>58</v>
      </c>
      <c r="B17" s="24">
        <v>83.0</v>
      </c>
      <c r="C17" s="24" t="s">
        <v>783</v>
      </c>
      <c r="D17" s="25"/>
    </row>
    <row r="18">
      <c r="A18" s="5" t="s">
        <v>56</v>
      </c>
      <c r="B18" s="24">
        <v>30.0</v>
      </c>
      <c r="C18" s="24"/>
      <c r="D18" s="33"/>
    </row>
    <row r="19">
      <c r="A19" s="5" t="s">
        <v>56</v>
      </c>
      <c r="B19" s="5">
        <v>65.0</v>
      </c>
      <c r="C19" s="24"/>
      <c r="D19" s="33"/>
    </row>
    <row r="20">
      <c r="A20" s="5" t="s">
        <v>37</v>
      </c>
      <c r="B20" s="37">
        <v>260.0</v>
      </c>
      <c r="C20" s="24" t="s">
        <v>1091</v>
      </c>
      <c r="D20" s="33"/>
    </row>
    <row r="21">
      <c r="A21" s="5" t="s">
        <v>36</v>
      </c>
      <c r="B21" s="24">
        <v>96.0</v>
      </c>
      <c r="C21" s="24"/>
      <c r="D21" s="33"/>
    </row>
    <row r="22">
      <c r="A22" s="5" t="s">
        <v>1092</v>
      </c>
      <c r="B22" s="24">
        <v>400.0</v>
      </c>
      <c r="C22" s="24" t="s">
        <v>1093</v>
      </c>
      <c r="D22" s="33"/>
    </row>
    <row r="23">
      <c r="A23" s="5" t="s">
        <v>56</v>
      </c>
      <c r="B23" s="24">
        <v>41.0</v>
      </c>
      <c r="C23" s="24"/>
      <c r="D23" s="33"/>
    </row>
    <row r="24">
      <c r="A24" s="5" t="s">
        <v>307</v>
      </c>
      <c r="B24" s="24">
        <v>250.0</v>
      </c>
      <c r="C24" s="24"/>
      <c r="D24" s="33"/>
    </row>
    <row r="25">
      <c r="A25" s="1" t="s">
        <v>35</v>
      </c>
      <c r="B25" s="1">
        <v>2100.0</v>
      </c>
      <c r="C25" s="24"/>
      <c r="D25" s="33"/>
    </row>
    <row r="26">
      <c r="A26" s="5" t="s">
        <v>1092</v>
      </c>
      <c r="B26" s="24">
        <v>299.0</v>
      </c>
      <c r="C26" s="24"/>
      <c r="D26" s="33"/>
    </row>
    <row r="27">
      <c r="A27" s="5" t="s">
        <v>40</v>
      </c>
      <c r="B27" s="24">
        <v>3343.0</v>
      </c>
      <c r="C27" s="24"/>
      <c r="D27" s="33"/>
    </row>
    <row r="28">
      <c r="A28" s="5" t="s">
        <v>46</v>
      </c>
      <c r="B28" s="24">
        <v>3675.0</v>
      </c>
      <c r="C28" s="24"/>
      <c r="D28" s="33"/>
    </row>
    <row r="29">
      <c r="A29" s="5" t="s">
        <v>56</v>
      </c>
      <c r="B29" s="37">
        <v>550.0</v>
      </c>
      <c r="C29" s="24" t="s">
        <v>1094</v>
      </c>
      <c r="D29" s="35"/>
    </row>
    <row r="30">
      <c r="A30" s="5" t="s">
        <v>56</v>
      </c>
      <c r="B30" s="37">
        <v>300.0</v>
      </c>
      <c r="C30" s="24" t="s">
        <v>1095</v>
      </c>
      <c r="D30" s="33"/>
    </row>
    <row r="31">
      <c r="A31" s="5" t="s">
        <v>56</v>
      </c>
      <c r="B31" s="24">
        <v>300.0</v>
      </c>
      <c r="C31" s="24" t="s">
        <v>1096</v>
      </c>
      <c r="D31" s="33"/>
    </row>
    <row r="32">
      <c r="A32" s="5" t="s">
        <v>56</v>
      </c>
      <c r="B32" s="24">
        <v>680.0</v>
      </c>
      <c r="C32" s="24" t="s">
        <v>1097</v>
      </c>
      <c r="D32" s="33"/>
    </row>
    <row r="33">
      <c r="A33" s="5" t="s">
        <v>42</v>
      </c>
      <c r="B33" s="24">
        <v>65.0</v>
      </c>
      <c r="C33" s="24"/>
      <c r="D33" s="33"/>
    </row>
    <row r="34">
      <c r="A34" s="5" t="s">
        <v>58</v>
      </c>
      <c r="B34" s="39">
        <v>290.0</v>
      </c>
      <c r="C34" s="24"/>
      <c r="D34" s="33"/>
    </row>
    <row r="35">
      <c r="A35" s="5" t="s">
        <v>148</v>
      </c>
      <c r="B35" s="24">
        <v>116.0</v>
      </c>
      <c r="C35" s="24"/>
      <c r="D35" s="33"/>
    </row>
    <row r="36">
      <c r="A36" s="5" t="s">
        <v>56</v>
      </c>
      <c r="B36" s="24">
        <v>600.0</v>
      </c>
      <c r="C36" s="24" t="s">
        <v>824</v>
      </c>
      <c r="D36" s="33"/>
    </row>
    <row r="37">
      <c r="A37" s="5" t="s">
        <v>51</v>
      </c>
      <c r="B37" s="38">
        <v>190.0</v>
      </c>
      <c r="C37" s="24"/>
      <c r="D37" s="33"/>
    </row>
    <row r="38">
      <c r="A38" s="5" t="s">
        <v>51</v>
      </c>
      <c r="B38" s="24">
        <v>85.0</v>
      </c>
      <c r="C38" s="24"/>
      <c r="D38" s="33"/>
    </row>
    <row r="39">
      <c r="A39" s="5" t="s">
        <v>47</v>
      </c>
      <c r="B39" s="1">
        <v>250.0</v>
      </c>
      <c r="C39" s="24" t="s">
        <v>1098</v>
      </c>
      <c r="D39" s="33"/>
    </row>
    <row r="40">
      <c r="A40" s="5" t="s">
        <v>51</v>
      </c>
      <c r="B40" s="24">
        <v>185.0</v>
      </c>
      <c r="C40" s="24"/>
      <c r="D40" s="33"/>
    </row>
    <row r="41">
      <c r="A41" s="5" t="s">
        <v>36</v>
      </c>
      <c r="B41" s="24">
        <v>105.0</v>
      </c>
      <c r="C41" s="24"/>
      <c r="D41" s="33"/>
    </row>
    <row r="42">
      <c r="A42" s="5" t="s">
        <v>56</v>
      </c>
      <c r="B42" s="24">
        <v>2738.0</v>
      </c>
      <c r="C42" s="24"/>
      <c r="D42" s="33"/>
    </row>
    <row r="43">
      <c r="A43" s="5" t="s">
        <v>56</v>
      </c>
      <c r="B43" s="24">
        <v>42.0</v>
      </c>
      <c r="C43" s="24" t="s">
        <v>874</v>
      </c>
      <c r="D43" s="33"/>
    </row>
    <row r="44">
      <c r="A44" s="5" t="s">
        <v>148</v>
      </c>
      <c r="B44" s="24">
        <v>116.0</v>
      </c>
      <c r="C44" s="24"/>
      <c r="D44" s="33"/>
    </row>
    <row r="45">
      <c r="A45" s="5" t="s">
        <v>50</v>
      </c>
      <c r="B45" s="24">
        <v>455.0</v>
      </c>
      <c r="C45" s="24" t="s">
        <v>817</v>
      </c>
      <c r="D45" s="33"/>
    </row>
    <row r="46">
      <c r="A46" s="5" t="s">
        <v>56</v>
      </c>
      <c r="B46" s="24">
        <v>26.0</v>
      </c>
      <c r="C46" s="24" t="s">
        <v>817</v>
      </c>
      <c r="D46" s="33"/>
    </row>
    <row r="47">
      <c r="A47" s="5" t="s">
        <v>42</v>
      </c>
      <c r="B47" s="24">
        <v>15.0</v>
      </c>
      <c r="C47" s="24"/>
      <c r="D47" s="33"/>
    </row>
    <row r="48">
      <c r="A48" s="5" t="s">
        <v>41</v>
      </c>
      <c r="B48" s="24">
        <v>34.0</v>
      </c>
      <c r="C48" s="24"/>
      <c r="D48" s="33"/>
    </row>
    <row r="49">
      <c r="A49" s="5" t="s">
        <v>42</v>
      </c>
      <c r="B49" s="24">
        <v>65.0</v>
      </c>
      <c r="C49" s="24" t="s">
        <v>1099</v>
      </c>
      <c r="D49" s="33"/>
    </row>
    <row r="50">
      <c r="A50" s="5" t="s">
        <v>47</v>
      </c>
      <c r="B50" s="24">
        <v>23.0</v>
      </c>
      <c r="C50" s="24" t="s">
        <v>780</v>
      </c>
      <c r="D50" s="33"/>
    </row>
    <row r="51">
      <c r="A51" s="5" t="s">
        <v>56</v>
      </c>
      <c r="B51" s="24">
        <v>230.0</v>
      </c>
      <c r="C51" s="24" t="s">
        <v>823</v>
      </c>
      <c r="D51" s="33"/>
    </row>
    <row r="52">
      <c r="A52" s="5"/>
      <c r="B52" s="24"/>
      <c r="C52" s="24"/>
      <c r="D52" s="33"/>
    </row>
    <row r="53">
      <c r="A53" s="5"/>
      <c r="B53" s="24"/>
      <c r="C53" s="24"/>
      <c r="D53" s="33"/>
    </row>
    <row r="54">
      <c r="A54" s="5"/>
      <c r="B54" s="24"/>
      <c r="C54" s="24"/>
      <c r="D54" s="33"/>
    </row>
    <row r="55">
      <c r="A55" s="5"/>
      <c r="B55" s="24"/>
      <c r="C55" s="24"/>
      <c r="D55" s="33"/>
    </row>
    <row r="56">
      <c r="A56" s="5"/>
      <c r="B56" s="24"/>
      <c r="C56" s="24"/>
      <c r="D56" s="33"/>
    </row>
    <row r="57">
      <c r="A57" s="5"/>
      <c r="B57" s="24"/>
      <c r="C57" s="24"/>
      <c r="D57" s="33"/>
    </row>
    <row r="58">
      <c r="A58" s="5"/>
      <c r="B58" s="24"/>
      <c r="C58" s="24"/>
      <c r="D58" s="33"/>
    </row>
    <row r="59">
      <c r="A59" s="5"/>
      <c r="B59" s="24"/>
      <c r="C59" s="24"/>
      <c r="D59" s="33"/>
    </row>
    <row r="60">
      <c r="A60" s="5"/>
      <c r="B60" s="24"/>
      <c r="C60" s="24"/>
      <c r="D60" s="33"/>
    </row>
    <row r="61">
      <c r="A61" s="5"/>
      <c r="B61" s="24"/>
      <c r="C61" s="24"/>
      <c r="D61" s="33"/>
    </row>
    <row r="62">
      <c r="A62" s="5"/>
      <c r="B62" s="24"/>
      <c r="C62" s="24"/>
      <c r="D62" s="33"/>
    </row>
    <row r="63">
      <c r="A63" s="5"/>
      <c r="B63" s="24"/>
      <c r="C63" s="24"/>
      <c r="D63" s="33"/>
    </row>
    <row r="64">
      <c r="A64" s="5"/>
      <c r="B64" s="24"/>
      <c r="C64" s="24"/>
      <c r="D64" s="33"/>
    </row>
    <row r="65">
      <c r="A65" s="5"/>
      <c r="B65" s="24"/>
      <c r="C65" s="24"/>
      <c r="D65" s="33"/>
    </row>
    <row r="66">
      <c r="A66" s="5"/>
      <c r="B66" s="24"/>
      <c r="C66" s="24"/>
      <c r="D66" s="33"/>
    </row>
    <row r="67">
      <c r="A67" s="5"/>
      <c r="B67" s="24"/>
      <c r="C67" s="24"/>
      <c r="D67" s="33"/>
    </row>
    <row r="68">
      <c r="A68" s="5"/>
      <c r="B68" s="24"/>
      <c r="C68" s="24"/>
      <c r="D68" s="33"/>
    </row>
    <row r="69">
      <c r="A69" s="5"/>
      <c r="B69" s="24"/>
      <c r="C69" s="24"/>
      <c r="D69" s="33"/>
    </row>
    <row r="70">
      <c r="A70" s="5"/>
      <c r="B70" s="24"/>
      <c r="C70" s="24"/>
      <c r="D70" s="35"/>
    </row>
    <row r="71">
      <c r="A71" s="5"/>
      <c r="B71" s="24"/>
      <c r="C71" s="24"/>
      <c r="D71" s="33"/>
    </row>
    <row r="72">
      <c r="A72" s="5"/>
      <c r="B72" s="24"/>
      <c r="C72" s="24"/>
      <c r="D72" s="33"/>
    </row>
    <row r="73">
      <c r="A73" s="5"/>
      <c r="B73" s="24"/>
      <c r="C73" s="24"/>
      <c r="D73" s="33"/>
    </row>
    <row r="74">
      <c r="A74" s="5"/>
      <c r="B74" s="24"/>
      <c r="C74" s="24"/>
      <c r="D74" s="33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24 A26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14222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56</v>
      </c>
      <c r="B3" s="24">
        <v>260.0</v>
      </c>
      <c r="C3" s="24" t="s">
        <v>1100</v>
      </c>
      <c r="D3" s="33"/>
      <c r="E3" s="1" t="s">
        <v>34</v>
      </c>
      <c r="F3" s="8">
        <v>33517.0</v>
      </c>
      <c r="H3" s="2">
        <f>Zbiorczy!D39</f>
        <v>127499</v>
      </c>
      <c r="J3" s="3">
        <f t="shared" ref="J3:J7" si="1">SUMIF($A$3:A$98, K3, B$3:B$98)</f>
        <v>2100</v>
      </c>
      <c r="K3" s="1" t="s">
        <v>35</v>
      </c>
      <c r="M3" s="3">
        <f t="shared" ref="M3:M8" si="2">SUMIF($A$3:A$98, N3, B$3:B$98)</f>
        <v>689</v>
      </c>
      <c r="N3" s="1" t="s">
        <v>36</v>
      </c>
    </row>
    <row r="4">
      <c r="A4" s="5" t="s">
        <v>73</v>
      </c>
      <c r="B4" s="24">
        <v>150.0</v>
      </c>
      <c r="C4" s="24" t="s">
        <v>1101</v>
      </c>
      <c r="D4" s="33"/>
      <c r="E4" s="1" t="s">
        <v>1087</v>
      </c>
      <c r="F4" s="8">
        <v>0.0</v>
      </c>
      <c r="J4" s="3">
        <f t="shared" si="1"/>
        <v>3835</v>
      </c>
      <c r="K4" s="1" t="s">
        <v>40</v>
      </c>
      <c r="M4" s="3">
        <f t="shared" si="2"/>
        <v>60</v>
      </c>
      <c r="N4" s="1" t="s">
        <v>41</v>
      </c>
    </row>
    <row r="5">
      <c r="A5" s="5" t="s">
        <v>148</v>
      </c>
      <c r="B5" s="24">
        <v>73.0</v>
      </c>
      <c r="C5" s="24"/>
      <c r="D5" s="35"/>
      <c r="E5" s="1" t="s">
        <v>1088</v>
      </c>
      <c r="J5" s="3">
        <f t="shared" si="1"/>
        <v>5709</v>
      </c>
      <c r="K5" s="1" t="s">
        <v>46</v>
      </c>
      <c r="M5" s="3">
        <f t="shared" si="2"/>
        <v>2512</v>
      </c>
      <c r="N5" s="1" t="s">
        <v>47</v>
      </c>
    </row>
    <row r="6">
      <c r="A6" s="5" t="s">
        <v>36</v>
      </c>
      <c r="B6" s="24">
        <v>16.0</v>
      </c>
      <c r="C6" s="24"/>
      <c r="D6" s="35"/>
      <c r="J6" s="3">
        <f t="shared" si="1"/>
        <v>2078</v>
      </c>
      <c r="K6" s="1" t="s">
        <v>50</v>
      </c>
      <c r="M6" s="3">
        <f t="shared" si="2"/>
        <v>899</v>
      </c>
      <c r="N6" s="1" t="s">
        <v>51</v>
      </c>
    </row>
    <row r="7">
      <c r="A7" s="5" t="s">
        <v>80</v>
      </c>
      <c r="B7" s="24">
        <v>11.0</v>
      </c>
      <c r="C7" s="28"/>
      <c r="D7" s="33"/>
      <c r="J7" s="3">
        <f t="shared" si="1"/>
        <v>500</v>
      </c>
      <c r="K7" s="1" t="s">
        <v>55</v>
      </c>
      <c r="M7" s="3">
        <f t="shared" si="2"/>
        <v>7049</v>
      </c>
      <c r="N7" s="1" t="s">
        <v>56</v>
      </c>
    </row>
    <row r="8">
      <c r="A8" s="5" t="s">
        <v>73</v>
      </c>
      <c r="B8" s="24">
        <v>250.0</v>
      </c>
      <c r="C8" s="5" t="s">
        <v>1102</v>
      </c>
      <c r="D8" s="33"/>
      <c r="M8" s="3">
        <f t="shared" si="2"/>
        <v>2512</v>
      </c>
      <c r="N8" s="1" t="s">
        <v>47</v>
      </c>
    </row>
    <row r="9">
      <c r="A9" s="5" t="s">
        <v>56</v>
      </c>
      <c r="B9" s="24">
        <v>82.0</v>
      </c>
      <c r="C9" s="24" t="s">
        <v>806</v>
      </c>
      <c r="D9" s="33"/>
    </row>
    <row r="10">
      <c r="A10" s="5" t="s">
        <v>36</v>
      </c>
      <c r="B10" s="24">
        <v>40.0</v>
      </c>
      <c r="C10" s="24"/>
      <c r="D10" s="35"/>
    </row>
    <row r="11">
      <c r="A11" s="5" t="s">
        <v>41</v>
      </c>
      <c r="B11" s="24">
        <v>60.0</v>
      </c>
      <c r="C11" s="24"/>
      <c r="D11" s="35"/>
    </row>
    <row r="12">
      <c r="A12" s="5" t="s">
        <v>50</v>
      </c>
      <c r="B12" s="24">
        <v>350.0</v>
      </c>
      <c r="C12" s="24"/>
      <c r="D12" s="33"/>
    </row>
    <row r="13">
      <c r="A13" s="5" t="s">
        <v>56</v>
      </c>
      <c r="B13" s="24">
        <v>273.0</v>
      </c>
      <c r="C13" s="24" t="s">
        <v>1048</v>
      </c>
      <c r="D13" s="33"/>
    </row>
    <row r="14">
      <c r="A14" s="5" t="s">
        <v>51</v>
      </c>
      <c r="B14" s="24">
        <v>250.0</v>
      </c>
      <c r="C14" s="24"/>
      <c r="D14" s="33"/>
    </row>
    <row r="15">
      <c r="A15" s="5" t="s">
        <v>56</v>
      </c>
      <c r="B15" s="24">
        <v>50.0</v>
      </c>
      <c r="C15" s="24"/>
      <c r="D15" s="33"/>
    </row>
    <row r="16">
      <c r="A16" s="5" t="s">
        <v>47</v>
      </c>
      <c r="B16" s="24">
        <v>2500.0</v>
      </c>
      <c r="C16" s="24"/>
      <c r="D16" s="33"/>
    </row>
    <row r="17">
      <c r="A17" s="5" t="s">
        <v>56</v>
      </c>
      <c r="B17" s="24">
        <v>1932.0</v>
      </c>
      <c r="C17" s="24" t="s">
        <v>1103</v>
      </c>
      <c r="D17" s="25"/>
    </row>
    <row r="18">
      <c r="A18" s="5" t="s">
        <v>36</v>
      </c>
      <c r="B18" s="24">
        <v>50.0</v>
      </c>
      <c r="C18" s="24"/>
      <c r="D18" s="33"/>
    </row>
    <row r="19">
      <c r="A19" s="5" t="s">
        <v>51</v>
      </c>
      <c r="B19" s="5">
        <v>225.0</v>
      </c>
      <c r="C19" s="24"/>
      <c r="D19" s="33"/>
    </row>
    <row r="20">
      <c r="A20" s="5" t="s">
        <v>56</v>
      </c>
      <c r="B20" s="37">
        <v>100.0</v>
      </c>
      <c r="C20" s="24" t="s">
        <v>789</v>
      </c>
      <c r="D20" s="33"/>
    </row>
    <row r="21">
      <c r="A21" s="5" t="s">
        <v>58</v>
      </c>
      <c r="B21" s="24">
        <v>300.0</v>
      </c>
      <c r="C21" s="24"/>
      <c r="D21" s="33"/>
    </row>
    <row r="22">
      <c r="A22" s="5" t="s">
        <v>58</v>
      </c>
      <c r="B22" s="24">
        <v>240.0</v>
      </c>
      <c r="C22" s="24" t="s">
        <v>782</v>
      </c>
      <c r="D22" s="33"/>
    </row>
    <row r="23">
      <c r="A23" s="5" t="s">
        <v>55</v>
      </c>
      <c r="B23" s="24">
        <v>500.0</v>
      </c>
      <c r="C23" s="24" t="s">
        <v>1104</v>
      </c>
      <c r="D23" s="33"/>
    </row>
    <row r="24">
      <c r="A24" s="5" t="s">
        <v>50</v>
      </c>
      <c r="B24" s="24">
        <v>100.0</v>
      </c>
      <c r="C24" s="24"/>
      <c r="D24" s="33"/>
    </row>
    <row r="25">
      <c r="A25" s="5" t="s">
        <v>772</v>
      </c>
      <c r="B25" s="24">
        <v>35.0</v>
      </c>
      <c r="C25" s="24"/>
      <c r="D25" s="33"/>
    </row>
    <row r="26">
      <c r="A26" s="5" t="s">
        <v>50</v>
      </c>
      <c r="B26" s="24">
        <v>1358.0</v>
      </c>
      <c r="C26" s="24"/>
      <c r="D26" s="33"/>
    </row>
    <row r="27">
      <c r="A27" s="5" t="s">
        <v>50</v>
      </c>
      <c r="B27" s="24">
        <v>80.0</v>
      </c>
      <c r="C27" s="24" t="s">
        <v>1105</v>
      </c>
      <c r="D27" s="33"/>
    </row>
    <row r="28">
      <c r="A28" s="5" t="s">
        <v>73</v>
      </c>
      <c r="B28" s="24">
        <v>250.0</v>
      </c>
      <c r="C28" s="24"/>
      <c r="D28" s="33"/>
    </row>
    <row r="29">
      <c r="A29" s="5" t="s">
        <v>201</v>
      </c>
      <c r="B29" s="37">
        <v>2100.0</v>
      </c>
      <c r="C29" s="24"/>
      <c r="D29" s="35"/>
    </row>
    <row r="30">
      <c r="A30" s="5" t="s">
        <v>36</v>
      </c>
      <c r="B30" s="37">
        <v>160.0</v>
      </c>
      <c r="C30" s="24"/>
      <c r="D30" s="33"/>
    </row>
    <row r="31">
      <c r="A31" s="5" t="s">
        <v>56</v>
      </c>
      <c r="B31" s="24">
        <v>83.0</v>
      </c>
      <c r="C31" s="24" t="s">
        <v>1106</v>
      </c>
      <c r="D31" s="33"/>
    </row>
    <row r="32">
      <c r="A32" s="5" t="s">
        <v>56</v>
      </c>
      <c r="B32" s="24">
        <v>57.0</v>
      </c>
      <c r="C32" s="24" t="s">
        <v>912</v>
      </c>
      <c r="D32" s="33"/>
    </row>
    <row r="33">
      <c r="A33" s="5" t="s">
        <v>36</v>
      </c>
      <c r="B33" s="24">
        <v>25.0</v>
      </c>
      <c r="C33" s="24"/>
      <c r="D33" s="33"/>
    </row>
    <row r="34">
      <c r="A34" s="5" t="s">
        <v>73</v>
      </c>
      <c r="B34" s="39">
        <v>150.0</v>
      </c>
      <c r="C34" s="24"/>
      <c r="D34" s="33"/>
    </row>
    <row r="35">
      <c r="A35" s="5" t="s">
        <v>51</v>
      </c>
      <c r="B35" s="24">
        <v>160.0</v>
      </c>
      <c r="C35" s="24"/>
      <c r="D35" s="33"/>
    </row>
    <row r="36">
      <c r="A36" s="5" t="s">
        <v>56</v>
      </c>
      <c r="B36" s="24">
        <v>25.0</v>
      </c>
      <c r="C36" s="24"/>
      <c r="D36" s="33"/>
    </row>
    <row r="37">
      <c r="A37" s="5" t="s">
        <v>36</v>
      </c>
      <c r="B37" s="38">
        <v>135.0</v>
      </c>
      <c r="C37" s="24"/>
      <c r="D37" s="33"/>
    </row>
    <row r="38">
      <c r="A38" s="5" t="s">
        <v>58</v>
      </c>
      <c r="B38" s="24">
        <v>300.0</v>
      </c>
      <c r="C38" s="24" t="s">
        <v>1107</v>
      </c>
      <c r="D38" s="33"/>
    </row>
    <row r="39">
      <c r="A39" s="5" t="s">
        <v>56</v>
      </c>
      <c r="B39" s="1">
        <v>1407.0</v>
      </c>
      <c r="C39" s="24" t="s">
        <v>1108</v>
      </c>
      <c r="D39" s="33"/>
    </row>
    <row r="40">
      <c r="A40" s="5" t="s">
        <v>40</v>
      </c>
      <c r="B40" s="24">
        <v>3835.0</v>
      </c>
      <c r="C40" s="24"/>
      <c r="D40" s="33"/>
    </row>
    <row r="41">
      <c r="A41" s="5" t="s">
        <v>46</v>
      </c>
      <c r="B41" s="24">
        <v>5709.0</v>
      </c>
      <c r="C41" s="24"/>
      <c r="D41" s="33"/>
    </row>
    <row r="42">
      <c r="A42" s="5" t="s">
        <v>80</v>
      </c>
      <c r="B42" s="24">
        <v>65.0</v>
      </c>
      <c r="C42" s="24" t="s">
        <v>1109</v>
      </c>
      <c r="D42" s="33"/>
    </row>
    <row r="43">
      <c r="A43" s="5" t="s">
        <v>148</v>
      </c>
      <c r="B43" s="24">
        <v>40.0</v>
      </c>
      <c r="C43" s="24"/>
      <c r="D43" s="33"/>
    </row>
    <row r="44">
      <c r="A44" s="5" t="s">
        <v>56</v>
      </c>
      <c r="B44" s="24">
        <v>120.0</v>
      </c>
      <c r="C44" s="24" t="s">
        <v>1110</v>
      </c>
      <c r="D44" s="33"/>
    </row>
    <row r="45">
      <c r="A45" s="5" t="s">
        <v>36</v>
      </c>
      <c r="B45" s="24">
        <v>30.0</v>
      </c>
      <c r="C45" s="24"/>
      <c r="D45" s="33"/>
    </row>
    <row r="46">
      <c r="A46" s="5" t="s">
        <v>42</v>
      </c>
      <c r="B46" s="24">
        <v>120.0</v>
      </c>
      <c r="C46" s="24"/>
      <c r="D46" s="33"/>
    </row>
    <row r="47">
      <c r="A47" s="5" t="s">
        <v>51</v>
      </c>
      <c r="B47" s="24">
        <v>100.0</v>
      </c>
      <c r="C47" s="24"/>
      <c r="D47" s="33"/>
    </row>
    <row r="48">
      <c r="A48" s="5" t="s">
        <v>56</v>
      </c>
      <c r="B48" s="24">
        <v>2660.0</v>
      </c>
      <c r="C48" s="24" t="s">
        <v>1111</v>
      </c>
      <c r="D48" s="33"/>
    </row>
    <row r="49">
      <c r="A49" s="5" t="s">
        <v>36</v>
      </c>
      <c r="B49" s="24">
        <v>233.0</v>
      </c>
      <c r="C49" s="24"/>
      <c r="D49" s="33"/>
    </row>
    <row r="50">
      <c r="A50" s="5" t="s">
        <v>47</v>
      </c>
      <c r="B50" s="24">
        <v>12.0</v>
      </c>
      <c r="C50" s="24"/>
      <c r="D50" s="33"/>
    </row>
    <row r="51">
      <c r="A51" s="5" t="s">
        <v>50</v>
      </c>
      <c r="B51" s="24">
        <v>190.0</v>
      </c>
      <c r="C51" s="24"/>
      <c r="D51" s="33"/>
    </row>
    <row r="52">
      <c r="A52" s="5" t="s">
        <v>58</v>
      </c>
      <c r="B52" s="24">
        <v>80.0</v>
      </c>
      <c r="C52" s="24" t="s">
        <v>813</v>
      </c>
      <c r="D52" s="33"/>
    </row>
    <row r="53">
      <c r="A53" s="5" t="s">
        <v>51</v>
      </c>
      <c r="B53" s="24">
        <v>164.0</v>
      </c>
      <c r="C53" s="24"/>
      <c r="D53" s="33"/>
    </row>
    <row r="54">
      <c r="A54" s="5"/>
      <c r="B54" s="24"/>
      <c r="C54" s="24"/>
      <c r="D54" s="33"/>
    </row>
    <row r="55">
      <c r="A55" s="5"/>
      <c r="B55" s="24"/>
      <c r="C55" s="24"/>
      <c r="D55" s="33"/>
    </row>
    <row r="56">
      <c r="A56" s="5"/>
      <c r="B56" s="24"/>
      <c r="C56" s="24"/>
      <c r="D56" s="33"/>
    </row>
    <row r="57">
      <c r="A57" s="5"/>
      <c r="B57" s="24"/>
      <c r="C57" s="24"/>
      <c r="D57" s="33"/>
    </row>
    <row r="58">
      <c r="A58" s="5"/>
      <c r="B58" s="24"/>
      <c r="C58" s="24"/>
      <c r="D58" s="33"/>
    </row>
    <row r="59">
      <c r="A59" s="5"/>
      <c r="B59" s="24"/>
      <c r="C59" s="24"/>
      <c r="D59" s="33"/>
    </row>
    <row r="60">
      <c r="A60" s="5"/>
      <c r="B60" s="24"/>
      <c r="C60" s="24"/>
      <c r="D60" s="33"/>
    </row>
    <row r="61">
      <c r="A61" s="5"/>
      <c r="B61" s="24"/>
      <c r="C61" s="24"/>
      <c r="D61" s="33"/>
    </row>
    <row r="62">
      <c r="A62" s="5"/>
      <c r="B62" s="24"/>
      <c r="C62" s="24"/>
      <c r="D62" s="33"/>
    </row>
    <row r="63">
      <c r="A63" s="5"/>
      <c r="B63" s="24"/>
      <c r="C63" s="24"/>
      <c r="D63" s="33"/>
    </row>
    <row r="64">
      <c r="A64" s="5"/>
      <c r="B64" s="24"/>
      <c r="C64" s="24"/>
      <c r="D64" s="33"/>
    </row>
    <row r="65">
      <c r="A65" s="5"/>
      <c r="B65" s="24"/>
      <c r="C65" s="24"/>
      <c r="D65" s="33"/>
    </row>
    <row r="66">
      <c r="A66" s="5"/>
      <c r="B66" s="24"/>
      <c r="C66" s="24"/>
      <c r="D66" s="33"/>
    </row>
    <row r="67">
      <c r="A67" s="5"/>
      <c r="B67" s="24"/>
      <c r="C67" s="24"/>
      <c r="D67" s="33"/>
    </row>
    <row r="68">
      <c r="A68" s="5"/>
      <c r="B68" s="24"/>
      <c r="C68" s="24"/>
      <c r="D68" s="33"/>
    </row>
    <row r="69">
      <c r="A69" s="5"/>
      <c r="B69" s="24"/>
      <c r="C69" s="24"/>
      <c r="D69" s="33"/>
    </row>
    <row r="70">
      <c r="A70" s="5"/>
      <c r="B70" s="24"/>
      <c r="C70" s="24"/>
      <c r="D70" s="35"/>
    </row>
    <row r="71">
      <c r="A71" s="5"/>
      <c r="B71" s="24"/>
      <c r="C71" s="24"/>
      <c r="D71" s="33"/>
    </row>
    <row r="72">
      <c r="A72" s="5"/>
      <c r="B72" s="24"/>
      <c r="C72" s="24"/>
      <c r="D72" s="33"/>
    </row>
    <row r="73">
      <c r="A73" s="5"/>
      <c r="B73" s="24"/>
      <c r="C73" s="24"/>
      <c r="D73" s="33"/>
    </row>
    <row r="74">
      <c r="A74" s="5"/>
      <c r="B74" s="24"/>
      <c r="C74" s="24"/>
      <c r="D74" s="33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14845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56</v>
      </c>
      <c r="B3" s="24">
        <v>590.0</v>
      </c>
      <c r="C3" s="24" t="s">
        <v>1112</v>
      </c>
      <c r="D3" s="33"/>
      <c r="E3" s="1" t="s">
        <v>34</v>
      </c>
      <c r="F3" s="8">
        <v>38806.23</v>
      </c>
      <c r="H3" s="2">
        <f>Zbiorczy!D38</f>
        <v>120464.68</v>
      </c>
      <c r="J3" s="3">
        <f t="shared" ref="J3:J7" si="1">SUMIF($A$3:A$98, K3, B$3:B$98)</f>
        <v>2100</v>
      </c>
      <c r="K3" s="1" t="s">
        <v>35</v>
      </c>
      <c r="M3" s="3">
        <f t="shared" ref="M3:M8" si="2">SUMIF($A$3:A$98, N3, B$3:B$98)</f>
        <v>2083.91</v>
      </c>
      <c r="N3" s="1" t="s">
        <v>36</v>
      </c>
    </row>
    <row r="4">
      <c r="A4" s="5" t="s">
        <v>56</v>
      </c>
      <c r="B4" s="24">
        <v>100.0</v>
      </c>
      <c r="C4" s="24" t="s">
        <v>1113</v>
      </c>
      <c r="D4" s="33"/>
      <c r="E4" s="1" t="s">
        <v>1087</v>
      </c>
      <c r="F4" s="8">
        <v>500.0</v>
      </c>
      <c r="J4" s="3">
        <f t="shared" si="1"/>
        <v>4205</v>
      </c>
      <c r="K4" s="1" t="s">
        <v>40</v>
      </c>
      <c r="M4" s="3">
        <f t="shared" si="2"/>
        <v>0</v>
      </c>
      <c r="N4" s="1" t="s">
        <v>41</v>
      </c>
    </row>
    <row r="5">
      <c r="A5" s="5" t="s">
        <v>42</v>
      </c>
      <c r="B5" s="24">
        <v>50.0</v>
      </c>
      <c r="C5" s="24"/>
      <c r="D5" s="35"/>
      <c r="E5" s="1" t="s">
        <v>1088</v>
      </c>
      <c r="J5" s="3">
        <f t="shared" si="1"/>
        <v>6780</v>
      </c>
      <c r="K5" s="1" t="s">
        <v>46</v>
      </c>
      <c r="M5" s="3">
        <f t="shared" si="2"/>
        <v>2464</v>
      </c>
      <c r="N5" s="1" t="s">
        <v>47</v>
      </c>
    </row>
    <row r="6">
      <c r="A6" s="5" t="s">
        <v>56</v>
      </c>
      <c r="B6" s="24">
        <v>1500.0</v>
      </c>
      <c r="C6" s="24" t="s">
        <v>1114</v>
      </c>
      <c r="D6" s="35"/>
      <c r="J6" s="3">
        <f t="shared" si="1"/>
        <v>1760</v>
      </c>
      <c r="K6" s="1" t="s">
        <v>50</v>
      </c>
      <c r="M6" s="3">
        <f t="shared" si="2"/>
        <v>2081</v>
      </c>
      <c r="N6" s="1" t="s">
        <v>51</v>
      </c>
    </row>
    <row r="7">
      <c r="A7" s="5" t="s">
        <v>36</v>
      </c>
      <c r="B7" s="24">
        <v>658.0</v>
      </c>
      <c r="C7" s="28"/>
      <c r="D7" s="33"/>
      <c r="J7" s="3">
        <f t="shared" si="1"/>
        <v>0</v>
      </c>
      <c r="K7" s="1" t="s">
        <v>55</v>
      </c>
      <c r="M7" s="3">
        <f t="shared" si="2"/>
        <v>8148</v>
      </c>
      <c r="N7" s="1" t="s">
        <v>56</v>
      </c>
    </row>
    <row r="8">
      <c r="A8" s="5" t="s">
        <v>307</v>
      </c>
      <c r="B8" s="24">
        <v>250.0</v>
      </c>
      <c r="C8" s="5"/>
      <c r="D8" s="33"/>
      <c r="M8" s="3">
        <f t="shared" si="2"/>
        <v>2464</v>
      </c>
      <c r="N8" s="1" t="s">
        <v>47</v>
      </c>
    </row>
    <row r="9">
      <c r="A9" s="5" t="s">
        <v>148</v>
      </c>
      <c r="B9" s="24">
        <v>125.0</v>
      </c>
      <c r="C9" s="24"/>
      <c r="D9" s="33"/>
    </row>
    <row r="10">
      <c r="A10" s="5" t="s">
        <v>36</v>
      </c>
      <c r="B10" s="24">
        <v>121.0</v>
      </c>
      <c r="C10" s="24"/>
      <c r="D10" s="35"/>
    </row>
    <row r="11">
      <c r="A11" s="5" t="s">
        <v>51</v>
      </c>
      <c r="B11" s="24">
        <v>241.0</v>
      </c>
      <c r="C11" s="24"/>
      <c r="D11" s="35"/>
    </row>
    <row r="12">
      <c r="A12" s="5" t="s">
        <v>58</v>
      </c>
      <c r="B12" s="24">
        <v>290.0</v>
      </c>
      <c r="C12" s="24"/>
      <c r="D12" s="33"/>
    </row>
    <row r="13">
      <c r="A13" s="5" t="s">
        <v>42</v>
      </c>
      <c r="B13" s="24">
        <v>152.0</v>
      </c>
      <c r="C13" s="24"/>
      <c r="D13" s="33"/>
    </row>
    <row r="14">
      <c r="A14" s="5" t="s">
        <v>50</v>
      </c>
      <c r="B14" s="24">
        <v>1360.0</v>
      </c>
      <c r="C14" s="24"/>
      <c r="D14" s="33"/>
    </row>
    <row r="15">
      <c r="A15" s="5" t="s">
        <v>47</v>
      </c>
      <c r="B15" s="24">
        <v>2432.0</v>
      </c>
      <c r="C15" s="24"/>
      <c r="D15" s="33"/>
    </row>
    <row r="16">
      <c r="A16" s="5" t="s">
        <v>56</v>
      </c>
      <c r="B16" s="24">
        <v>285.0</v>
      </c>
      <c r="C16" s="24" t="s">
        <v>1115</v>
      </c>
      <c r="D16" s="33"/>
    </row>
    <row r="17">
      <c r="A17" s="5" t="s">
        <v>56</v>
      </c>
      <c r="B17" s="24">
        <v>200.0</v>
      </c>
      <c r="C17" s="24" t="s">
        <v>1116</v>
      </c>
      <c r="D17" s="25"/>
    </row>
    <row r="18">
      <c r="A18" s="5" t="s">
        <v>58</v>
      </c>
      <c r="B18" s="24">
        <v>83.0</v>
      </c>
      <c r="C18" s="24" t="s">
        <v>783</v>
      </c>
      <c r="D18" s="33"/>
    </row>
    <row r="19">
      <c r="A19" s="5" t="s">
        <v>58</v>
      </c>
      <c r="B19" s="5">
        <v>280.0</v>
      </c>
      <c r="C19" s="24" t="s">
        <v>782</v>
      </c>
      <c r="D19" s="33"/>
    </row>
    <row r="20">
      <c r="A20" s="5" t="s">
        <v>51</v>
      </c>
      <c r="B20" s="37">
        <v>280.0</v>
      </c>
      <c r="C20" s="24"/>
      <c r="D20" s="33"/>
    </row>
    <row r="21">
      <c r="A21" s="5" t="s">
        <v>50</v>
      </c>
      <c r="B21" s="24">
        <v>350.0</v>
      </c>
      <c r="C21" s="24"/>
      <c r="D21" s="33"/>
    </row>
    <row r="22">
      <c r="A22" s="5" t="s">
        <v>36</v>
      </c>
      <c r="B22" s="24">
        <v>200.0</v>
      </c>
      <c r="C22" s="24"/>
      <c r="D22" s="33"/>
    </row>
    <row r="23">
      <c r="A23" s="5" t="s">
        <v>56</v>
      </c>
      <c r="B23" s="24">
        <v>200.0</v>
      </c>
      <c r="C23" s="24" t="s">
        <v>1117</v>
      </c>
      <c r="D23" s="33"/>
    </row>
    <row r="24">
      <c r="A24" s="5" t="s">
        <v>56</v>
      </c>
      <c r="B24" s="24">
        <v>50.0</v>
      </c>
      <c r="C24" s="24" t="s">
        <v>1118</v>
      </c>
      <c r="D24" s="33"/>
    </row>
    <row r="25">
      <c r="A25" s="5" t="s">
        <v>56</v>
      </c>
      <c r="B25" s="24">
        <v>595.0</v>
      </c>
      <c r="C25" s="24" t="s">
        <v>1119</v>
      </c>
      <c r="D25" s="33"/>
    </row>
    <row r="26">
      <c r="A26" s="5" t="s">
        <v>56</v>
      </c>
      <c r="B26" s="24">
        <v>120.0</v>
      </c>
      <c r="C26" s="24" t="s">
        <v>780</v>
      </c>
      <c r="D26" s="33"/>
    </row>
    <row r="27">
      <c r="A27" s="5" t="s">
        <v>36</v>
      </c>
      <c r="B27" s="24">
        <v>18.0</v>
      </c>
      <c r="C27" s="24"/>
      <c r="D27" s="33"/>
    </row>
    <row r="28">
      <c r="A28" s="5" t="s">
        <v>36</v>
      </c>
      <c r="B28" s="24">
        <v>27.0</v>
      </c>
      <c r="C28" s="24"/>
      <c r="D28" s="33"/>
    </row>
    <row r="29">
      <c r="A29" s="5" t="s">
        <v>56</v>
      </c>
      <c r="B29" s="37">
        <v>300.0</v>
      </c>
      <c r="C29" s="24" t="s">
        <v>1120</v>
      </c>
      <c r="D29" s="35"/>
    </row>
    <row r="30">
      <c r="A30" s="5" t="s">
        <v>40</v>
      </c>
      <c r="B30" s="37">
        <v>4205.0</v>
      </c>
      <c r="C30" s="24"/>
      <c r="D30" s="33"/>
    </row>
    <row r="31">
      <c r="A31" s="5" t="s">
        <v>46</v>
      </c>
      <c r="B31" s="24">
        <v>6780.0</v>
      </c>
      <c r="C31" s="24"/>
      <c r="D31" s="33"/>
    </row>
    <row r="32">
      <c r="A32" s="5" t="s">
        <v>35</v>
      </c>
      <c r="B32" s="24">
        <v>2100.0</v>
      </c>
      <c r="C32" s="24"/>
      <c r="D32" s="33"/>
    </row>
    <row r="33">
      <c r="A33" s="5" t="s">
        <v>51</v>
      </c>
      <c r="B33" s="24">
        <v>200.0</v>
      </c>
      <c r="C33" s="24"/>
      <c r="D33" s="33"/>
    </row>
    <row r="34">
      <c r="A34" s="5" t="s">
        <v>36</v>
      </c>
      <c r="B34" s="39">
        <v>193.91</v>
      </c>
      <c r="C34" s="24"/>
      <c r="D34" s="33"/>
    </row>
    <row r="35">
      <c r="A35" s="5" t="s">
        <v>56</v>
      </c>
      <c r="B35" s="24">
        <v>132.0</v>
      </c>
      <c r="C35" s="24" t="s">
        <v>795</v>
      </c>
      <c r="D35" s="33"/>
    </row>
    <row r="36">
      <c r="A36" s="5" t="s">
        <v>56</v>
      </c>
      <c r="B36" s="24">
        <v>100.0</v>
      </c>
      <c r="C36" s="24" t="s">
        <v>789</v>
      </c>
      <c r="D36" s="33"/>
    </row>
    <row r="37">
      <c r="A37" s="5" t="s">
        <v>56</v>
      </c>
      <c r="B37" s="38">
        <v>30.0</v>
      </c>
      <c r="C37" s="24" t="s">
        <v>1121</v>
      </c>
      <c r="D37" s="33"/>
    </row>
    <row r="38">
      <c r="A38" s="5" t="s">
        <v>51</v>
      </c>
      <c r="B38" s="24">
        <v>240.0</v>
      </c>
      <c r="C38" s="24"/>
      <c r="D38" s="33"/>
    </row>
    <row r="39">
      <c r="A39" s="5" t="s">
        <v>148</v>
      </c>
      <c r="B39" s="1">
        <v>115.0</v>
      </c>
      <c r="C39" s="24"/>
      <c r="D39" s="33"/>
    </row>
    <row r="40">
      <c r="A40" s="5" t="s">
        <v>36</v>
      </c>
      <c r="B40" s="24">
        <v>20.0</v>
      </c>
      <c r="C40" s="24"/>
      <c r="D40" s="33"/>
    </row>
    <row r="41">
      <c r="A41" s="5" t="s">
        <v>51</v>
      </c>
      <c r="B41" s="24">
        <v>300.0</v>
      </c>
      <c r="C41" s="24"/>
      <c r="D41" s="33"/>
    </row>
    <row r="42">
      <c r="A42" s="5" t="s">
        <v>56</v>
      </c>
      <c r="B42" s="24">
        <v>280.0</v>
      </c>
      <c r="C42" s="24" t="s">
        <v>1122</v>
      </c>
      <c r="D42" s="33"/>
    </row>
    <row r="43">
      <c r="A43" s="5" t="s">
        <v>56</v>
      </c>
      <c r="B43" s="24">
        <v>30.0</v>
      </c>
      <c r="C43" s="24" t="s">
        <v>1123</v>
      </c>
      <c r="D43" s="33"/>
    </row>
    <row r="44">
      <c r="A44" s="5" t="s">
        <v>51</v>
      </c>
      <c r="B44" s="24">
        <v>110.0</v>
      </c>
      <c r="C44" s="24"/>
      <c r="D44" s="33"/>
    </row>
    <row r="45">
      <c r="A45" s="5" t="s">
        <v>51</v>
      </c>
      <c r="B45" s="24">
        <v>210.0</v>
      </c>
      <c r="C45" s="24"/>
      <c r="D45" s="33"/>
    </row>
    <row r="46">
      <c r="A46" s="5" t="s">
        <v>37</v>
      </c>
      <c r="B46" s="24">
        <v>47.0</v>
      </c>
      <c r="C46" s="24"/>
      <c r="D46" s="33"/>
    </row>
    <row r="47">
      <c r="A47" s="5" t="s">
        <v>51</v>
      </c>
      <c r="B47" s="24">
        <v>250.0</v>
      </c>
      <c r="C47" s="24"/>
      <c r="D47" s="33"/>
    </row>
    <row r="48">
      <c r="A48" s="5" t="s">
        <v>36</v>
      </c>
      <c r="B48" s="24">
        <v>16.0</v>
      </c>
      <c r="C48" s="24"/>
      <c r="D48" s="33"/>
    </row>
    <row r="49">
      <c r="A49" s="5" t="s">
        <v>56</v>
      </c>
      <c r="B49" s="24">
        <v>800.0</v>
      </c>
      <c r="C49" s="24" t="s">
        <v>1111</v>
      </c>
      <c r="D49" s="33"/>
    </row>
    <row r="50">
      <c r="A50" s="5" t="s">
        <v>56</v>
      </c>
      <c r="B50" s="24">
        <v>19.0</v>
      </c>
      <c r="C50" s="24" t="s">
        <v>1111</v>
      </c>
      <c r="D50" s="33"/>
    </row>
    <row r="51">
      <c r="A51" s="5" t="s">
        <v>56</v>
      </c>
      <c r="B51" s="24">
        <v>49.0</v>
      </c>
      <c r="C51" s="24" t="s">
        <v>1111</v>
      </c>
      <c r="D51" s="33"/>
    </row>
    <row r="52">
      <c r="A52" s="5" t="s">
        <v>56</v>
      </c>
      <c r="B52" s="24">
        <v>61.0</v>
      </c>
      <c r="C52" s="24" t="s">
        <v>1111</v>
      </c>
      <c r="D52" s="33"/>
    </row>
    <row r="53">
      <c r="A53" s="5" t="s">
        <v>56</v>
      </c>
      <c r="B53" s="24">
        <v>91.0</v>
      </c>
      <c r="C53" s="24" t="s">
        <v>1111</v>
      </c>
      <c r="D53" s="33"/>
    </row>
    <row r="54">
      <c r="A54" s="5" t="s">
        <v>56</v>
      </c>
      <c r="B54" s="24">
        <v>311.0</v>
      </c>
      <c r="C54" s="24" t="s">
        <v>1111</v>
      </c>
      <c r="D54" s="33"/>
    </row>
    <row r="55">
      <c r="A55" s="5" t="s">
        <v>56</v>
      </c>
      <c r="B55" s="24">
        <v>60.0</v>
      </c>
      <c r="C55" s="24" t="s">
        <v>1111</v>
      </c>
      <c r="D55" s="33"/>
    </row>
    <row r="56">
      <c r="A56" s="5" t="s">
        <v>56</v>
      </c>
      <c r="B56" s="24">
        <v>31.0</v>
      </c>
      <c r="C56" s="24" t="s">
        <v>1111</v>
      </c>
      <c r="D56" s="33"/>
    </row>
    <row r="57">
      <c r="A57" s="5" t="s">
        <v>56</v>
      </c>
      <c r="B57" s="24">
        <v>122.0</v>
      </c>
      <c r="C57" s="24" t="s">
        <v>1111</v>
      </c>
      <c r="D57" s="33"/>
    </row>
    <row r="58">
      <c r="A58" s="5" t="s">
        <v>56</v>
      </c>
      <c r="B58" s="24">
        <v>700.0</v>
      </c>
      <c r="C58" s="24" t="s">
        <v>890</v>
      </c>
      <c r="D58" s="33"/>
    </row>
    <row r="59">
      <c r="A59" s="5" t="s">
        <v>56</v>
      </c>
      <c r="B59" s="24">
        <v>780.0</v>
      </c>
      <c r="C59" s="24" t="s">
        <v>786</v>
      </c>
      <c r="D59" s="33"/>
    </row>
    <row r="60">
      <c r="A60" s="5" t="s">
        <v>56</v>
      </c>
      <c r="B60" s="24">
        <v>570.0</v>
      </c>
      <c r="C60" s="24" t="s">
        <v>1124</v>
      </c>
      <c r="D60" s="33"/>
    </row>
    <row r="61">
      <c r="A61" s="5" t="s">
        <v>73</v>
      </c>
      <c r="B61" s="24">
        <v>510.0</v>
      </c>
      <c r="C61" s="24" t="s">
        <v>1125</v>
      </c>
      <c r="D61" s="33"/>
    </row>
    <row r="62">
      <c r="A62" s="5" t="s">
        <v>51</v>
      </c>
      <c r="B62" s="24">
        <v>250.0</v>
      </c>
      <c r="C62" s="24"/>
      <c r="D62" s="33"/>
    </row>
    <row r="63">
      <c r="A63" s="5" t="s">
        <v>56</v>
      </c>
      <c r="B63" s="24">
        <v>42.0</v>
      </c>
      <c r="C63" s="24" t="s">
        <v>1052</v>
      </c>
      <c r="D63" s="33"/>
    </row>
    <row r="64">
      <c r="A64" s="5" t="s">
        <v>47</v>
      </c>
      <c r="B64" s="24">
        <v>12.0</v>
      </c>
      <c r="C64" s="24"/>
      <c r="D64" s="33"/>
    </row>
    <row r="65">
      <c r="A65" s="5" t="s">
        <v>42</v>
      </c>
      <c r="B65" s="24">
        <v>44.0</v>
      </c>
      <c r="C65" s="24" t="s">
        <v>1099</v>
      </c>
      <c r="D65" s="33"/>
    </row>
    <row r="66">
      <c r="A66" s="5" t="s">
        <v>36</v>
      </c>
      <c r="B66" s="24">
        <v>26.0</v>
      </c>
      <c r="C66" s="24"/>
      <c r="D66" s="33"/>
    </row>
    <row r="67">
      <c r="A67" s="5" t="s">
        <v>73</v>
      </c>
      <c r="B67" s="24">
        <v>300.0</v>
      </c>
      <c r="C67" s="24"/>
      <c r="D67" s="33"/>
    </row>
    <row r="68">
      <c r="A68" s="5" t="s">
        <v>42</v>
      </c>
      <c r="B68" s="24">
        <v>34.0</v>
      </c>
      <c r="C68" s="24" t="s">
        <v>1099</v>
      </c>
      <c r="D68" s="33"/>
    </row>
    <row r="69">
      <c r="A69" s="5" t="s">
        <v>47</v>
      </c>
      <c r="B69" s="24">
        <v>20.0</v>
      </c>
      <c r="C69" s="24"/>
      <c r="D69" s="33"/>
    </row>
    <row r="70">
      <c r="A70" s="5" t="s">
        <v>42</v>
      </c>
      <c r="B70" s="24">
        <v>130.0</v>
      </c>
      <c r="C70" s="24"/>
      <c r="D70" s="35"/>
    </row>
    <row r="71">
      <c r="A71" s="5" t="s">
        <v>80</v>
      </c>
      <c r="B71" s="24">
        <v>100.0</v>
      </c>
      <c r="C71" s="24"/>
      <c r="D71" s="33"/>
    </row>
    <row r="72">
      <c r="A72" s="5" t="s">
        <v>36</v>
      </c>
      <c r="B72" s="24">
        <v>18.0</v>
      </c>
      <c r="C72" s="24"/>
      <c r="D72" s="33"/>
    </row>
    <row r="73">
      <c r="A73" s="5" t="s">
        <v>36</v>
      </c>
      <c r="B73" s="24">
        <v>786.0</v>
      </c>
      <c r="C73" s="24"/>
      <c r="D73" s="33"/>
    </row>
    <row r="74">
      <c r="A74" s="5" t="s">
        <v>50</v>
      </c>
      <c r="B74" s="24">
        <v>50.0</v>
      </c>
      <c r="C74" s="24" t="s">
        <v>1126</v>
      </c>
      <c r="D74" s="33"/>
    </row>
    <row r="75">
      <c r="A75" s="5" t="s">
        <v>58</v>
      </c>
      <c r="B75" s="24">
        <v>100.0</v>
      </c>
      <c r="C75" s="24" t="s">
        <v>789</v>
      </c>
      <c r="D75" s="33"/>
    </row>
    <row r="76">
      <c r="A76" s="5" t="s">
        <v>58</v>
      </c>
      <c r="B76" s="24">
        <v>40.0</v>
      </c>
      <c r="C76" s="24" t="s">
        <v>1127</v>
      </c>
      <c r="D76" s="25"/>
    </row>
    <row r="77">
      <c r="D77" s="25"/>
    </row>
    <row r="78"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5"/>
      <c r="B83" s="24"/>
      <c r="C83" s="24"/>
      <c r="D83" s="25"/>
    </row>
    <row r="84">
      <c r="A84" s="5"/>
      <c r="B84" s="24"/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76 A79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12854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51</v>
      </c>
      <c r="B3" s="24">
        <v>174.0</v>
      </c>
      <c r="C3" s="24"/>
      <c r="D3" s="33"/>
      <c r="E3" s="1" t="s">
        <v>34</v>
      </c>
      <c r="F3" s="8">
        <v>32834.0</v>
      </c>
      <c r="H3" s="2">
        <f>Zbiorczy!D37</f>
        <v>117089.68</v>
      </c>
      <c r="J3" s="3">
        <f t="shared" ref="J3:J7" si="1">SUMIF($A$3:A$98, K3, B$3:B$98)</f>
        <v>2115</v>
      </c>
      <c r="K3" s="1" t="s">
        <v>35</v>
      </c>
      <c r="M3" s="3">
        <f t="shared" ref="M3:M8" si="2">SUMIF($A$3:A$98, N3, B$3:B$98)</f>
        <v>1044</v>
      </c>
      <c r="N3" s="1" t="s">
        <v>36</v>
      </c>
    </row>
    <row r="4">
      <c r="A4" s="5" t="s">
        <v>58</v>
      </c>
      <c r="B4" s="24">
        <v>290.0</v>
      </c>
      <c r="C4" s="24" t="s">
        <v>812</v>
      </c>
      <c r="D4" s="33"/>
      <c r="E4" s="1" t="s">
        <v>1087</v>
      </c>
      <c r="F4" s="8"/>
      <c r="J4" s="3">
        <f t="shared" si="1"/>
        <v>3300</v>
      </c>
      <c r="K4" s="1" t="s">
        <v>40</v>
      </c>
      <c r="M4" s="3">
        <f t="shared" si="2"/>
        <v>64</v>
      </c>
      <c r="N4" s="1" t="s">
        <v>41</v>
      </c>
    </row>
    <row r="5">
      <c r="A5" s="5" t="s">
        <v>56</v>
      </c>
      <c r="B5" s="24">
        <v>77.0</v>
      </c>
      <c r="C5" s="24" t="s">
        <v>1128</v>
      </c>
      <c r="D5" s="35"/>
      <c r="E5" s="1" t="s">
        <v>1088</v>
      </c>
      <c r="J5" s="3">
        <f t="shared" si="1"/>
        <v>5630</v>
      </c>
      <c r="K5" s="1" t="s">
        <v>46</v>
      </c>
      <c r="M5" s="3">
        <f t="shared" si="2"/>
        <v>3360</v>
      </c>
      <c r="N5" s="1" t="s">
        <v>47</v>
      </c>
    </row>
    <row r="6">
      <c r="A6" s="5" t="s">
        <v>56</v>
      </c>
      <c r="B6" s="24">
        <v>14.0</v>
      </c>
      <c r="C6" s="24" t="s">
        <v>861</v>
      </c>
      <c r="D6" s="35"/>
      <c r="J6" s="3">
        <f t="shared" si="1"/>
        <v>1809</v>
      </c>
      <c r="K6" s="1" t="s">
        <v>50</v>
      </c>
      <c r="M6" s="3">
        <f t="shared" si="2"/>
        <v>744</v>
      </c>
      <c r="N6" s="1" t="s">
        <v>51</v>
      </c>
    </row>
    <row r="7">
      <c r="A7" s="5" t="s">
        <v>37</v>
      </c>
      <c r="B7" s="24">
        <v>13.0</v>
      </c>
      <c r="C7" s="28"/>
      <c r="D7" s="33"/>
      <c r="J7" s="3">
        <f t="shared" si="1"/>
        <v>0</v>
      </c>
      <c r="K7" s="1" t="s">
        <v>55</v>
      </c>
      <c r="M7" s="3">
        <f t="shared" si="2"/>
        <v>9340</v>
      </c>
      <c r="N7" s="1" t="s">
        <v>56</v>
      </c>
    </row>
    <row r="8">
      <c r="A8" s="5" t="s">
        <v>148</v>
      </c>
      <c r="B8" s="24">
        <v>100.0</v>
      </c>
      <c r="C8" s="5"/>
      <c r="D8" s="33"/>
      <c r="M8" s="3">
        <f t="shared" si="2"/>
        <v>3360</v>
      </c>
      <c r="N8" s="1" t="s">
        <v>47</v>
      </c>
    </row>
    <row r="9">
      <c r="A9" s="5" t="s">
        <v>41</v>
      </c>
      <c r="B9" s="24">
        <v>11.0</v>
      </c>
      <c r="C9" s="24"/>
      <c r="D9" s="33"/>
    </row>
    <row r="10">
      <c r="A10" s="5" t="s">
        <v>56</v>
      </c>
      <c r="B10" s="24">
        <v>7.0</v>
      </c>
      <c r="C10" s="24" t="s">
        <v>1062</v>
      </c>
      <c r="D10" s="35"/>
    </row>
    <row r="11">
      <c r="A11" s="5" t="s">
        <v>42</v>
      </c>
      <c r="B11" s="24">
        <v>53.0</v>
      </c>
      <c r="C11" s="24"/>
      <c r="D11" s="35"/>
    </row>
    <row r="12">
      <c r="A12" s="5" t="s">
        <v>47</v>
      </c>
      <c r="B12" s="24">
        <v>10.0</v>
      </c>
      <c r="C12" s="24" t="s">
        <v>780</v>
      </c>
      <c r="D12" s="33"/>
    </row>
    <row r="13">
      <c r="A13" s="5" t="s">
        <v>37</v>
      </c>
      <c r="B13" s="24">
        <v>12.0</v>
      </c>
      <c r="C13" s="24"/>
      <c r="D13" s="33"/>
    </row>
    <row r="14">
      <c r="A14" s="5" t="s">
        <v>56</v>
      </c>
      <c r="B14" s="24">
        <v>107.0</v>
      </c>
      <c r="C14" s="24" t="s">
        <v>1128</v>
      </c>
      <c r="D14" s="33"/>
    </row>
    <row r="15">
      <c r="A15" s="5" t="s">
        <v>37</v>
      </c>
      <c r="B15" s="24">
        <v>12.0</v>
      </c>
      <c r="C15" s="24"/>
      <c r="D15" s="33"/>
    </row>
    <row r="16">
      <c r="A16" s="5" t="s">
        <v>41</v>
      </c>
      <c r="B16" s="24">
        <v>20.0</v>
      </c>
      <c r="C16" s="24"/>
      <c r="D16" s="33"/>
    </row>
    <row r="17">
      <c r="A17" s="5" t="s">
        <v>41</v>
      </c>
      <c r="B17" s="24">
        <v>10.0</v>
      </c>
      <c r="C17" s="24"/>
      <c r="D17" s="25"/>
    </row>
    <row r="18">
      <c r="A18" s="5" t="s">
        <v>41</v>
      </c>
      <c r="B18" s="24">
        <v>9.0</v>
      </c>
      <c r="C18" s="24"/>
      <c r="D18" s="33"/>
    </row>
    <row r="19">
      <c r="A19" s="5" t="s">
        <v>42</v>
      </c>
      <c r="B19" s="5">
        <v>48.0</v>
      </c>
      <c r="C19" s="24"/>
      <c r="D19" s="33"/>
    </row>
    <row r="20">
      <c r="A20" s="5" t="s">
        <v>37</v>
      </c>
      <c r="B20" s="37">
        <v>12.0</v>
      </c>
      <c r="C20" s="24"/>
      <c r="D20" s="33"/>
    </row>
    <row r="21">
      <c r="A21" s="5" t="s">
        <v>56</v>
      </c>
      <c r="B21" s="24">
        <v>37.0</v>
      </c>
      <c r="C21" s="24" t="s">
        <v>1128</v>
      </c>
      <c r="D21" s="33"/>
    </row>
    <row r="22">
      <c r="A22" s="5" t="s">
        <v>36</v>
      </c>
      <c r="B22" s="24">
        <v>15.0</v>
      </c>
      <c r="C22" s="24"/>
      <c r="D22" s="33"/>
    </row>
    <row r="23">
      <c r="A23" s="5" t="s">
        <v>51</v>
      </c>
      <c r="B23" s="24">
        <v>278.0</v>
      </c>
      <c r="C23" s="24"/>
      <c r="D23" s="33"/>
    </row>
    <row r="24">
      <c r="A24" s="5" t="s">
        <v>50</v>
      </c>
      <c r="B24" s="24">
        <v>1359.0</v>
      </c>
      <c r="C24" s="24"/>
      <c r="D24" s="33"/>
    </row>
    <row r="25">
      <c r="A25" s="5" t="s">
        <v>36</v>
      </c>
      <c r="B25" s="24">
        <v>24.0</v>
      </c>
      <c r="C25" s="24"/>
      <c r="D25" s="33"/>
    </row>
    <row r="26">
      <c r="A26" s="5" t="s">
        <v>50</v>
      </c>
      <c r="B26" s="24">
        <v>350.0</v>
      </c>
      <c r="C26" s="24"/>
      <c r="D26" s="33"/>
    </row>
    <row r="27">
      <c r="A27" s="5" t="s">
        <v>47</v>
      </c>
      <c r="B27" s="24">
        <v>2434.0</v>
      </c>
      <c r="C27" s="24"/>
      <c r="D27" s="33"/>
    </row>
    <row r="28">
      <c r="A28" s="5" t="s">
        <v>58</v>
      </c>
      <c r="B28" s="24">
        <v>83.0</v>
      </c>
      <c r="C28" s="24" t="s">
        <v>783</v>
      </c>
      <c r="D28" s="33"/>
    </row>
    <row r="29">
      <c r="A29" s="5" t="s">
        <v>58</v>
      </c>
      <c r="B29" s="37">
        <v>230.0</v>
      </c>
      <c r="C29" s="24" t="s">
        <v>782</v>
      </c>
      <c r="D29" s="35"/>
    </row>
    <row r="30">
      <c r="A30" s="5" t="s">
        <v>36</v>
      </c>
      <c r="B30" s="37">
        <v>160.0</v>
      </c>
      <c r="C30" s="24"/>
      <c r="D30" s="33"/>
    </row>
    <row r="31">
      <c r="A31" s="5" t="s">
        <v>80</v>
      </c>
      <c r="B31" s="24">
        <v>50.0</v>
      </c>
      <c r="C31" s="24"/>
      <c r="D31" s="33"/>
    </row>
    <row r="32">
      <c r="A32" s="5" t="s">
        <v>73</v>
      </c>
      <c r="B32" s="24">
        <v>150.0</v>
      </c>
      <c r="C32" s="24"/>
      <c r="D32" s="33"/>
    </row>
    <row r="33">
      <c r="A33" s="5" t="s">
        <v>47</v>
      </c>
      <c r="B33" s="24">
        <v>200.0</v>
      </c>
      <c r="C33" s="24"/>
      <c r="D33" s="33"/>
    </row>
    <row r="34">
      <c r="A34" s="5" t="s">
        <v>42</v>
      </c>
      <c r="B34" s="39">
        <v>150.0</v>
      </c>
      <c r="C34" s="24"/>
      <c r="D34" s="33"/>
    </row>
    <row r="35">
      <c r="A35" s="5" t="s">
        <v>40</v>
      </c>
      <c r="B35" s="24">
        <v>3300.0</v>
      </c>
      <c r="C35" s="24"/>
      <c r="D35" s="33"/>
    </row>
    <row r="36">
      <c r="A36" s="5" t="s">
        <v>794</v>
      </c>
      <c r="B36" s="24">
        <v>5630.0</v>
      </c>
      <c r="C36" s="24"/>
      <c r="D36" s="33"/>
    </row>
    <row r="37">
      <c r="A37" s="5" t="s">
        <v>36</v>
      </c>
      <c r="B37" s="38">
        <v>13.0</v>
      </c>
      <c r="C37" s="24"/>
      <c r="D37" s="33"/>
    </row>
    <row r="38">
      <c r="A38" s="5" t="s">
        <v>36</v>
      </c>
      <c r="B38" s="24">
        <v>50.0</v>
      </c>
      <c r="C38" s="24"/>
      <c r="D38" s="33"/>
    </row>
    <row r="39">
      <c r="A39" s="5" t="s">
        <v>36</v>
      </c>
      <c r="B39" s="1">
        <v>42.0</v>
      </c>
      <c r="C39" s="24" t="s">
        <v>1129</v>
      </c>
      <c r="D39" s="33"/>
    </row>
    <row r="40">
      <c r="A40" s="5" t="s">
        <v>56</v>
      </c>
      <c r="B40" s="24">
        <v>22.0</v>
      </c>
      <c r="C40" s="24" t="s">
        <v>1130</v>
      </c>
      <c r="D40" s="33"/>
    </row>
    <row r="41">
      <c r="A41" s="5" t="s">
        <v>56</v>
      </c>
      <c r="B41" s="24">
        <v>16.0</v>
      </c>
      <c r="C41" s="24" t="s">
        <v>1131</v>
      </c>
      <c r="D41" s="33"/>
    </row>
    <row r="42">
      <c r="A42" s="5" t="s">
        <v>58</v>
      </c>
      <c r="B42" s="24">
        <v>100.0</v>
      </c>
      <c r="C42" s="24" t="s">
        <v>1132</v>
      </c>
      <c r="D42" s="33"/>
    </row>
    <row r="43">
      <c r="A43" s="5" t="s">
        <v>56</v>
      </c>
      <c r="B43" s="24">
        <v>50.0</v>
      </c>
      <c r="C43" s="24" t="s">
        <v>1133</v>
      </c>
      <c r="D43" s="33"/>
    </row>
    <row r="44">
      <c r="A44" s="5" t="s">
        <v>772</v>
      </c>
      <c r="B44" s="24">
        <v>50.0</v>
      </c>
      <c r="C44" s="24"/>
      <c r="D44" s="33"/>
    </row>
    <row r="45">
      <c r="A45" s="5" t="s">
        <v>56</v>
      </c>
      <c r="B45" s="24">
        <v>50.0</v>
      </c>
      <c r="C45" s="24"/>
      <c r="D45" s="33"/>
    </row>
    <row r="46">
      <c r="A46" s="5" t="s">
        <v>56</v>
      </c>
      <c r="B46" s="24">
        <v>112.0</v>
      </c>
      <c r="C46" s="24"/>
      <c r="D46" s="33"/>
    </row>
    <row r="47">
      <c r="A47" s="5" t="s">
        <v>56</v>
      </c>
      <c r="B47" s="24">
        <v>10.0</v>
      </c>
      <c r="C47" s="24"/>
      <c r="D47" s="33"/>
    </row>
    <row r="48">
      <c r="A48" s="5" t="s">
        <v>36</v>
      </c>
      <c r="B48" s="24">
        <v>5.0</v>
      </c>
      <c r="C48" s="24"/>
      <c r="D48" s="33"/>
    </row>
    <row r="49">
      <c r="A49" s="5" t="s">
        <v>56</v>
      </c>
      <c r="B49" s="24">
        <v>165.0</v>
      </c>
      <c r="C49" s="24" t="s">
        <v>774</v>
      </c>
      <c r="D49" s="33"/>
    </row>
    <row r="50">
      <c r="A50" s="5" t="s">
        <v>50</v>
      </c>
      <c r="B50" s="24">
        <v>100.0</v>
      </c>
      <c r="C50" s="24" t="s">
        <v>1001</v>
      </c>
      <c r="D50" s="33"/>
    </row>
    <row r="51">
      <c r="A51" s="5" t="s">
        <v>36</v>
      </c>
      <c r="B51" s="24">
        <v>30.0</v>
      </c>
      <c r="C51" s="24"/>
      <c r="D51" s="33"/>
    </row>
    <row r="52">
      <c r="A52" s="5" t="s">
        <v>36</v>
      </c>
      <c r="B52" s="24">
        <v>35.0</v>
      </c>
      <c r="C52" s="24"/>
      <c r="D52" s="33"/>
    </row>
    <row r="53">
      <c r="A53" s="5" t="s">
        <v>36</v>
      </c>
      <c r="B53" s="24">
        <v>50.0</v>
      </c>
      <c r="C53" s="24"/>
      <c r="D53" s="33"/>
    </row>
    <row r="54">
      <c r="A54" s="5" t="s">
        <v>73</v>
      </c>
      <c r="B54" s="24">
        <v>150.0</v>
      </c>
      <c r="C54" s="24"/>
      <c r="D54" s="33"/>
    </row>
    <row r="55">
      <c r="A55" s="5" t="s">
        <v>47</v>
      </c>
      <c r="B55" s="24">
        <v>16.0</v>
      </c>
      <c r="C55" s="24"/>
      <c r="D55" s="33"/>
    </row>
    <row r="56">
      <c r="A56" s="5" t="s">
        <v>56</v>
      </c>
      <c r="B56" s="24">
        <v>94.0</v>
      </c>
      <c r="C56" s="24" t="s">
        <v>1032</v>
      </c>
      <c r="D56" s="33"/>
    </row>
    <row r="57">
      <c r="A57" s="5" t="s">
        <v>73</v>
      </c>
      <c r="B57" s="24">
        <v>300.0</v>
      </c>
      <c r="C57" s="24"/>
      <c r="D57" s="33"/>
    </row>
    <row r="58">
      <c r="A58" s="5" t="s">
        <v>51</v>
      </c>
      <c r="B58" s="24">
        <v>212.0</v>
      </c>
      <c r="C58" s="24"/>
      <c r="D58" s="33"/>
    </row>
    <row r="59">
      <c r="A59" s="5" t="s">
        <v>36</v>
      </c>
      <c r="B59" s="24">
        <v>10.0</v>
      </c>
      <c r="C59" s="24"/>
      <c r="D59" s="33"/>
    </row>
    <row r="60">
      <c r="A60" s="5" t="s">
        <v>56</v>
      </c>
      <c r="B60" s="24">
        <v>650.0</v>
      </c>
      <c r="C60" s="24" t="s">
        <v>774</v>
      </c>
      <c r="D60" s="33"/>
    </row>
    <row r="61">
      <c r="A61" s="5" t="s">
        <v>47</v>
      </c>
      <c r="B61" s="24">
        <v>700.0</v>
      </c>
      <c r="C61" s="24"/>
      <c r="D61" s="33"/>
    </row>
    <row r="62">
      <c r="A62" s="5" t="s">
        <v>51</v>
      </c>
      <c r="B62" s="24">
        <v>80.0</v>
      </c>
      <c r="C62" s="24"/>
      <c r="D62" s="33"/>
    </row>
    <row r="63">
      <c r="A63" s="5" t="s">
        <v>56</v>
      </c>
      <c r="B63" s="24">
        <v>5000.0</v>
      </c>
      <c r="C63" s="24" t="s">
        <v>1134</v>
      </c>
      <c r="D63" s="33"/>
    </row>
    <row r="64">
      <c r="A64" s="5" t="s">
        <v>56</v>
      </c>
      <c r="B64" s="24">
        <v>400.0</v>
      </c>
      <c r="C64" s="24" t="s">
        <v>1135</v>
      </c>
      <c r="D64" s="33"/>
    </row>
    <row r="65">
      <c r="A65" s="5" t="s">
        <v>36</v>
      </c>
      <c r="B65" s="24">
        <v>16.0</v>
      </c>
      <c r="C65" s="24"/>
      <c r="D65" s="33"/>
    </row>
    <row r="66">
      <c r="A66" s="5" t="s">
        <v>56</v>
      </c>
      <c r="B66" s="24">
        <v>64.0</v>
      </c>
      <c r="C66" s="24" t="s">
        <v>1136</v>
      </c>
      <c r="D66" s="33"/>
    </row>
    <row r="67">
      <c r="A67" s="5" t="s">
        <v>201</v>
      </c>
      <c r="B67" s="24">
        <v>2115.0</v>
      </c>
      <c r="C67" s="24"/>
      <c r="D67" s="33"/>
    </row>
    <row r="68">
      <c r="A68" s="5" t="s">
        <v>56</v>
      </c>
      <c r="B68" s="24">
        <v>80.0</v>
      </c>
      <c r="C68" s="24" t="s">
        <v>1137</v>
      </c>
      <c r="D68" s="33"/>
    </row>
    <row r="69">
      <c r="A69" s="5" t="s">
        <v>56</v>
      </c>
      <c r="B69" s="24">
        <v>60.0</v>
      </c>
      <c r="C69" s="24" t="s">
        <v>1138</v>
      </c>
      <c r="D69" s="33"/>
    </row>
    <row r="70">
      <c r="A70" s="5" t="s">
        <v>56</v>
      </c>
      <c r="B70" s="24">
        <v>120.0</v>
      </c>
      <c r="C70" s="24" t="s">
        <v>879</v>
      </c>
      <c r="D70" s="35"/>
    </row>
    <row r="71">
      <c r="A71" s="5" t="s">
        <v>36</v>
      </c>
      <c r="B71" s="24">
        <v>240.0</v>
      </c>
      <c r="C71" s="24"/>
      <c r="D71" s="33"/>
    </row>
    <row r="72">
      <c r="A72" s="5" t="s">
        <v>36</v>
      </c>
      <c r="B72" s="24">
        <v>16.0</v>
      </c>
      <c r="C72" s="24"/>
      <c r="D72" s="33"/>
    </row>
    <row r="73">
      <c r="A73" s="5" t="s">
        <v>36</v>
      </c>
      <c r="B73" s="24">
        <v>30.0</v>
      </c>
      <c r="C73" s="24"/>
      <c r="D73" s="33"/>
    </row>
    <row r="74">
      <c r="A74" s="5" t="s">
        <v>80</v>
      </c>
      <c r="B74" s="24">
        <v>100.0</v>
      </c>
      <c r="C74" s="24"/>
      <c r="D74" s="33"/>
    </row>
    <row r="75">
      <c r="A75" s="5" t="s">
        <v>41</v>
      </c>
      <c r="B75" s="24">
        <v>14.0</v>
      </c>
      <c r="C75" s="24"/>
      <c r="D75" s="33"/>
    </row>
    <row r="76">
      <c r="A76" s="5" t="s">
        <v>56</v>
      </c>
      <c r="B76" s="24">
        <v>290.0</v>
      </c>
      <c r="C76" s="24" t="s">
        <v>1139</v>
      </c>
      <c r="D76" s="25"/>
    </row>
    <row r="77">
      <c r="A77" s="5" t="s">
        <v>36</v>
      </c>
      <c r="B77" s="24">
        <v>18.0</v>
      </c>
      <c r="C77" s="24"/>
      <c r="D77" s="25"/>
    </row>
    <row r="78">
      <c r="A78" s="5" t="s">
        <v>56</v>
      </c>
      <c r="B78" s="24">
        <v>1125.0</v>
      </c>
      <c r="C78" s="24" t="s">
        <v>777</v>
      </c>
      <c r="D78" s="25"/>
    </row>
    <row r="79">
      <c r="A79" s="5" t="s">
        <v>56</v>
      </c>
      <c r="B79" s="24">
        <v>660.0</v>
      </c>
      <c r="C79" s="24" t="s">
        <v>1140</v>
      </c>
      <c r="D79" s="25"/>
    </row>
    <row r="80">
      <c r="A80" s="5" t="s">
        <v>56</v>
      </c>
      <c r="B80" s="24">
        <v>130.0</v>
      </c>
      <c r="C80" s="24" t="s">
        <v>1141</v>
      </c>
      <c r="D80" s="25"/>
    </row>
    <row r="81">
      <c r="A81" s="5" t="s">
        <v>73</v>
      </c>
      <c r="B81" s="24">
        <v>150.0</v>
      </c>
      <c r="C81" s="24" t="s">
        <v>1142</v>
      </c>
      <c r="D81" s="25"/>
    </row>
    <row r="82">
      <c r="A82" s="5" t="s">
        <v>36</v>
      </c>
      <c r="B82" s="24">
        <v>150.0</v>
      </c>
      <c r="C82" s="24"/>
      <c r="D82" s="25"/>
    </row>
    <row r="83">
      <c r="A83" s="5" t="s">
        <v>36</v>
      </c>
      <c r="B83" s="24">
        <v>50.0</v>
      </c>
      <c r="C83" s="24"/>
      <c r="D83" s="25"/>
    </row>
    <row r="84">
      <c r="A84" s="5" t="s">
        <v>36</v>
      </c>
      <c r="B84" s="24">
        <v>90.0</v>
      </c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13554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56</v>
      </c>
      <c r="B3" s="24">
        <v>200.0</v>
      </c>
      <c r="C3" s="24" t="s">
        <v>1089</v>
      </c>
      <c r="D3" s="33"/>
      <c r="E3" s="1" t="s">
        <v>34</v>
      </c>
      <c r="F3" s="8">
        <v>35024.0</v>
      </c>
      <c r="H3" s="2">
        <f>Zbiorczy!D36</f>
        <v>108061.68</v>
      </c>
      <c r="J3" s="3">
        <f t="shared" ref="J3:J7" si="1">SUMIF($A$3:A$98, K3, B$3:B$98)</f>
        <v>2100</v>
      </c>
      <c r="K3" s="1" t="s">
        <v>35</v>
      </c>
      <c r="M3" s="3">
        <f t="shared" ref="M3:M8" si="2">SUMIF($A$3:A$98, N3, B$3:B$98)</f>
        <v>1185</v>
      </c>
      <c r="N3" s="1" t="s">
        <v>36</v>
      </c>
    </row>
    <row r="4">
      <c r="A4" s="5" t="s">
        <v>36</v>
      </c>
      <c r="B4" s="24">
        <v>160.0</v>
      </c>
      <c r="C4" s="24"/>
      <c r="D4" s="33"/>
      <c r="E4" s="1" t="s">
        <v>1087</v>
      </c>
      <c r="F4" s="8"/>
      <c r="J4" s="3">
        <f t="shared" si="1"/>
        <v>3449</v>
      </c>
      <c r="K4" s="1" t="s">
        <v>40</v>
      </c>
      <c r="M4" s="3">
        <f t="shared" si="2"/>
        <v>20</v>
      </c>
      <c r="N4" s="1" t="s">
        <v>41</v>
      </c>
    </row>
    <row r="5">
      <c r="A5" s="5" t="s">
        <v>58</v>
      </c>
      <c r="B5" s="24">
        <v>290.0</v>
      </c>
      <c r="C5" s="24" t="s">
        <v>1143</v>
      </c>
      <c r="D5" s="35"/>
      <c r="E5" s="1" t="s">
        <v>1088</v>
      </c>
      <c r="J5" s="3">
        <f t="shared" si="1"/>
        <v>5925</v>
      </c>
      <c r="K5" s="1" t="s">
        <v>46</v>
      </c>
      <c r="M5" s="3">
        <f t="shared" si="2"/>
        <v>2697</v>
      </c>
      <c r="N5" s="1" t="s">
        <v>47</v>
      </c>
    </row>
    <row r="6">
      <c r="A6" s="5" t="s">
        <v>50</v>
      </c>
      <c r="B6" s="24">
        <v>350.0</v>
      </c>
      <c r="C6" s="24" t="s">
        <v>780</v>
      </c>
      <c r="D6" s="35"/>
      <c r="J6" s="3">
        <f t="shared" si="1"/>
        <v>2080</v>
      </c>
      <c r="K6" s="1" t="s">
        <v>50</v>
      </c>
      <c r="M6" s="3">
        <f t="shared" si="2"/>
        <v>2177</v>
      </c>
      <c r="N6" s="1" t="s">
        <v>51</v>
      </c>
    </row>
    <row r="7">
      <c r="A7" s="5" t="s">
        <v>47</v>
      </c>
      <c r="B7" s="24">
        <v>2500.0</v>
      </c>
      <c r="C7" s="28" t="s">
        <v>921</v>
      </c>
      <c r="D7" s="33"/>
      <c r="J7" s="3">
        <f t="shared" si="1"/>
        <v>0</v>
      </c>
      <c r="K7" s="1" t="s">
        <v>55</v>
      </c>
      <c r="M7" s="3">
        <f t="shared" si="2"/>
        <v>3473</v>
      </c>
      <c r="N7" s="1" t="s">
        <v>56</v>
      </c>
    </row>
    <row r="8">
      <c r="A8" s="5" t="s">
        <v>56</v>
      </c>
      <c r="B8" s="24">
        <v>91.0</v>
      </c>
      <c r="C8" s="5"/>
      <c r="D8" s="33"/>
      <c r="M8" s="3">
        <f t="shared" si="2"/>
        <v>2697</v>
      </c>
      <c r="N8" s="1" t="s">
        <v>47</v>
      </c>
    </row>
    <row r="9">
      <c r="A9" s="5" t="s">
        <v>36</v>
      </c>
      <c r="B9" s="24">
        <v>15.0</v>
      </c>
      <c r="C9" s="24"/>
      <c r="D9" s="33"/>
    </row>
    <row r="10">
      <c r="A10" s="5" t="s">
        <v>148</v>
      </c>
      <c r="B10" s="24">
        <v>45.0</v>
      </c>
      <c r="C10" s="24"/>
      <c r="D10" s="35"/>
    </row>
    <row r="11">
      <c r="A11" s="5" t="s">
        <v>148</v>
      </c>
      <c r="B11" s="24">
        <v>72.0</v>
      </c>
      <c r="C11" s="24" t="s">
        <v>1144</v>
      </c>
      <c r="D11" s="35"/>
    </row>
    <row r="12">
      <c r="A12" s="5" t="s">
        <v>50</v>
      </c>
      <c r="B12" s="24">
        <v>250.0</v>
      </c>
      <c r="C12" s="24" t="s">
        <v>817</v>
      </c>
      <c r="D12" s="33"/>
    </row>
    <row r="13">
      <c r="A13" s="5" t="s">
        <v>58</v>
      </c>
      <c r="B13" s="24">
        <v>280.0</v>
      </c>
      <c r="C13" s="24" t="s">
        <v>1145</v>
      </c>
      <c r="D13" s="33"/>
    </row>
    <row r="14">
      <c r="A14" s="5" t="s">
        <v>58</v>
      </c>
      <c r="B14" s="24">
        <v>83.0</v>
      </c>
      <c r="C14" s="24" t="s">
        <v>783</v>
      </c>
      <c r="D14" s="33"/>
    </row>
    <row r="15">
      <c r="A15" s="5" t="s">
        <v>50</v>
      </c>
      <c r="B15" s="24">
        <v>1380.0</v>
      </c>
      <c r="C15" s="24"/>
      <c r="D15" s="33"/>
    </row>
    <row r="16">
      <c r="A16" s="5" t="s">
        <v>36</v>
      </c>
      <c r="B16" s="24">
        <v>110.0</v>
      </c>
      <c r="C16" s="24"/>
      <c r="D16" s="33"/>
    </row>
    <row r="17">
      <c r="A17" s="5" t="s">
        <v>36</v>
      </c>
      <c r="B17" s="24">
        <v>50.0</v>
      </c>
      <c r="C17" s="24"/>
      <c r="D17" s="25"/>
    </row>
    <row r="18">
      <c r="A18" s="5" t="s">
        <v>58</v>
      </c>
      <c r="B18" s="24">
        <v>27.0</v>
      </c>
      <c r="C18" s="24" t="s">
        <v>1146</v>
      </c>
      <c r="D18" s="33"/>
    </row>
    <row r="19">
      <c r="A19" s="5" t="s">
        <v>56</v>
      </c>
      <c r="B19" s="5">
        <v>6.0</v>
      </c>
      <c r="C19" s="24" t="s">
        <v>1147</v>
      </c>
      <c r="D19" s="33"/>
    </row>
    <row r="20">
      <c r="A20" s="5" t="s">
        <v>42</v>
      </c>
      <c r="B20" s="37">
        <v>130.0</v>
      </c>
      <c r="C20" s="24"/>
      <c r="D20" s="33"/>
    </row>
    <row r="21">
      <c r="A21" s="5" t="s">
        <v>56</v>
      </c>
      <c r="B21" s="24">
        <v>50.0</v>
      </c>
      <c r="C21" s="24" t="s">
        <v>1148</v>
      </c>
      <c r="D21" s="33"/>
    </row>
    <row r="22">
      <c r="A22" s="5" t="s">
        <v>56</v>
      </c>
      <c r="B22" s="24">
        <v>370.0</v>
      </c>
      <c r="C22" s="24" t="s">
        <v>1027</v>
      </c>
      <c r="D22" s="33"/>
    </row>
    <row r="23">
      <c r="A23" s="5" t="s">
        <v>307</v>
      </c>
      <c r="B23" s="39">
        <v>60.0</v>
      </c>
      <c r="C23" s="24"/>
      <c r="D23" s="33"/>
    </row>
    <row r="24">
      <c r="A24" s="5" t="s">
        <v>36</v>
      </c>
      <c r="B24" s="24">
        <v>52.0</v>
      </c>
      <c r="C24" s="24"/>
      <c r="D24" s="33"/>
    </row>
    <row r="25">
      <c r="A25" s="5" t="s">
        <v>36</v>
      </c>
      <c r="B25" s="24">
        <v>40.0</v>
      </c>
      <c r="C25" s="24"/>
      <c r="D25" s="33"/>
    </row>
    <row r="26">
      <c r="A26" s="5" t="s">
        <v>56</v>
      </c>
      <c r="B26" s="24">
        <v>7.0</v>
      </c>
      <c r="C26" s="24"/>
      <c r="D26" s="33"/>
    </row>
    <row r="27">
      <c r="A27" s="5" t="s">
        <v>56</v>
      </c>
      <c r="B27" s="24">
        <v>95.0</v>
      </c>
      <c r="C27" s="24" t="s">
        <v>795</v>
      </c>
      <c r="D27" s="33"/>
    </row>
    <row r="28">
      <c r="A28" s="5" t="s">
        <v>40</v>
      </c>
      <c r="B28" s="24">
        <v>3449.0</v>
      </c>
      <c r="C28" s="24"/>
      <c r="D28" s="33"/>
    </row>
    <row r="29">
      <c r="A29" s="5" t="s">
        <v>46</v>
      </c>
      <c r="B29" s="37">
        <v>5925.0</v>
      </c>
      <c r="C29" s="24"/>
      <c r="D29" s="35"/>
    </row>
    <row r="30">
      <c r="A30" s="5" t="s">
        <v>36</v>
      </c>
      <c r="B30" s="37">
        <v>50.0</v>
      </c>
      <c r="C30" s="24"/>
      <c r="D30" s="33"/>
    </row>
    <row r="31">
      <c r="A31" s="5" t="s">
        <v>307</v>
      </c>
      <c r="B31" s="24">
        <v>300.0</v>
      </c>
      <c r="C31" s="24"/>
      <c r="D31" s="33"/>
    </row>
    <row r="32">
      <c r="A32" s="5" t="s">
        <v>51</v>
      </c>
      <c r="B32" s="24">
        <v>140.0</v>
      </c>
      <c r="C32" s="24"/>
      <c r="D32" s="33"/>
    </row>
    <row r="33">
      <c r="A33" s="5" t="s">
        <v>47</v>
      </c>
      <c r="B33" s="24">
        <v>30.0</v>
      </c>
      <c r="C33" s="24"/>
      <c r="D33" s="33"/>
    </row>
    <row r="34">
      <c r="A34" s="5" t="s">
        <v>56</v>
      </c>
      <c r="B34" s="39">
        <v>134.0</v>
      </c>
      <c r="C34" s="24" t="s">
        <v>1149</v>
      </c>
      <c r="D34" s="33"/>
    </row>
    <row r="35">
      <c r="A35" s="5" t="s">
        <v>47</v>
      </c>
      <c r="B35" s="24">
        <v>120.0</v>
      </c>
      <c r="C35" s="24"/>
      <c r="D35" s="33"/>
    </row>
    <row r="36">
      <c r="A36" s="5" t="s">
        <v>36</v>
      </c>
      <c r="B36" s="24">
        <v>80.0</v>
      </c>
      <c r="C36" s="24"/>
      <c r="D36" s="33"/>
    </row>
    <row r="37">
      <c r="A37" s="5" t="s">
        <v>56</v>
      </c>
      <c r="B37" s="38">
        <v>44.0</v>
      </c>
      <c r="C37" s="24"/>
      <c r="D37" s="33"/>
    </row>
    <row r="38">
      <c r="A38" s="5" t="s">
        <v>56</v>
      </c>
      <c r="B38" s="24">
        <v>125.0</v>
      </c>
      <c r="C38" s="24" t="s">
        <v>1150</v>
      </c>
      <c r="D38" s="33"/>
    </row>
    <row r="39">
      <c r="A39" s="5" t="s">
        <v>50</v>
      </c>
      <c r="B39" s="24">
        <v>100.0</v>
      </c>
      <c r="C39" s="24"/>
      <c r="D39" s="33"/>
    </row>
    <row r="40">
      <c r="A40" s="5" t="s">
        <v>201</v>
      </c>
      <c r="B40" s="24">
        <v>2100.0</v>
      </c>
      <c r="C40" s="24"/>
      <c r="D40" s="33"/>
    </row>
    <row r="41">
      <c r="A41" s="5" t="s">
        <v>36</v>
      </c>
      <c r="B41" s="24">
        <v>25.0</v>
      </c>
      <c r="C41" s="24"/>
      <c r="D41" s="33"/>
    </row>
    <row r="42">
      <c r="A42" s="5" t="s">
        <v>56</v>
      </c>
      <c r="B42" s="24">
        <v>100.0</v>
      </c>
      <c r="C42" s="24" t="s">
        <v>1151</v>
      </c>
      <c r="D42" s="33"/>
    </row>
    <row r="43">
      <c r="A43" s="5" t="s">
        <v>51</v>
      </c>
      <c r="B43" s="24">
        <v>220.0</v>
      </c>
      <c r="C43" s="24"/>
      <c r="D43" s="33"/>
    </row>
    <row r="44">
      <c r="A44" s="5" t="s">
        <v>37</v>
      </c>
      <c r="B44" s="24">
        <v>26.0</v>
      </c>
      <c r="C44" s="24"/>
      <c r="D44" s="33"/>
    </row>
    <row r="45">
      <c r="A45" s="5" t="s">
        <v>36</v>
      </c>
      <c r="B45" s="24">
        <v>13.0</v>
      </c>
      <c r="C45" s="24"/>
      <c r="D45" s="33"/>
    </row>
    <row r="46">
      <c r="A46" s="5" t="s">
        <v>42</v>
      </c>
      <c r="B46" s="24">
        <v>160.0</v>
      </c>
      <c r="C46" s="24"/>
      <c r="D46" s="33"/>
    </row>
    <row r="47">
      <c r="A47" s="5" t="s">
        <v>73</v>
      </c>
      <c r="B47" s="24">
        <v>150.0</v>
      </c>
      <c r="C47" s="24"/>
      <c r="D47" s="33"/>
    </row>
    <row r="48">
      <c r="A48" s="5" t="s">
        <v>51</v>
      </c>
      <c r="B48" s="24">
        <v>190.0</v>
      </c>
      <c r="C48" s="24"/>
      <c r="D48" s="33"/>
    </row>
    <row r="49">
      <c r="A49" s="5" t="s">
        <v>36</v>
      </c>
      <c r="B49" s="24">
        <v>160.0</v>
      </c>
      <c r="C49" s="24"/>
      <c r="D49" s="33"/>
    </row>
    <row r="50">
      <c r="A50" s="5" t="s">
        <v>51</v>
      </c>
      <c r="B50" s="24">
        <v>130.0</v>
      </c>
      <c r="C50" s="24"/>
      <c r="D50" s="33"/>
    </row>
    <row r="51">
      <c r="A51" s="5" t="s">
        <v>56</v>
      </c>
      <c r="B51" s="24">
        <v>100.0</v>
      </c>
      <c r="C51" s="24"/>
      <c r="D51" s="33"/>
    </row>
    <row r="52">
      <c r="A52" s="5" t="s">
        <v>51</v>
      </c>
      <c r="B52" s="24">
        <v>250.0</v>
      </c>
      <c r="C52" s="24"/>
      <c r="D52" s="33"/>
    </row>
    <row r="53">
      <c r="A53" s="5" t="s">
        <v>148</v>
      </c>
      <c r="B53" s="24">
        <v>50.0</v>
      </c>
      <c r="C53" s="24"/>
      <c r="D53" s="33"/>
    </row>
    <row r="54">
      <c r="A54" s="5" t="s">
        <v>51</v>
      </c>
      <c r="B54" s="24">
        <v>225.0</v>
      </c>
      <c r="C54" s="24"/>
      <c r="D54" s="33"/>
    </row>
    <row r="55">
      <c r="A55" s="5" t="s">
        <v>36</v>
      </c>
      <c r="B55" s="24">
        <v>200.0</v>
      </c>
      <c r="C55" s="24"/>
      <c r="D55" s="33"/>
    </row>
    <row r="56">
      <c r="A56" s="5" t="s">
        <v>73</v>
      </c>
      <c r="B56" s="24">
        <v>300.0</v>
      </c>
      <c r="C56" s="24"/>
      <c r="D56" s="33"/>
    </row>
    <row r="57">
      <c r="A57" s="5" t="s">
        <v>47</v>
      </c>
      <c r="B57" s="24">
        <v>21.0</v>
      </c>
      <c r="C57" s="24"/>
      <c r="D57" s="33"/>
    </row>
    <row r="58">
      <c r="A58" s="5" t="s">
        <v>56</v>
      </c>
      <c r="B58" s="24">
        <v>30.0</v>
      </c>
      <c r="C58" s="24"/>
      <c r="D58" s="33"/>
    </row>
    <row r="59">
      <c r="A59" s="5" t="s">
        <v>42</v>
      </c>
      <c r="B59" s="24">
        <v>20.0</v>
      </c>
      <c r="C59" s="24"/>
      <c r="D59" s="33"/>
    </row>
    <row r="60">
      <c r="A60" s="5" t="s">
        <v>73</v>
      </c>
      <c r="B60" s="24">
        <v>300.0</v>
      </c>
      <c r="C60" s="24"/>
      <c r="D60" s="33"/>
    </row>
    <row r="61">
      <c r="A61" s="5" t="s">
        <v>51</v>
      </c>
      <c r="B61" s="24">
        <v>240.0</v>
      </c>
      <c r="C61" s="24"/>
      <c r="D61" s="33"/>
    </row>
    <row r="62">
      <c r="A62" s="5" t="s">
        <v>56</v>
      </c>
      <c r="B62" s="24">
        <v>40.0</v>
      </c>
      <c r="C62" s="24" t="s">
        <v>1152</v>
      </c>
      <c r="D62" s="33"/>
    </row>
    <row r="63">
      <c r="A63" s="5" t="s">
        <v>36</v>
      </c>
      <c r="B63" s="24">
        <v>10.0</v>
      </c>
      <c r="C63" s="24"/>
      <c r="D63" s="33"/>
    </row>
    <row r="64">
      <c r="A64" s="5" t="s">
        <v>56</v>
      </c>
      <c r="B64" s="24">
        <v>74.0</v>
      </c>
      <c r="C64" s="24" t="s">
        <v>1153</v>
      </c>
      <c r="D64" s="33"/>
    </row>
    <row r="65">
      <c r="A65" s="5" t="s">
        <v>41</v>
      </c>
      <c r="B65" s="24">
        <v>20.0</v>
      </c>
      <c r="C65" s="24"/>
      <c r="D65" s="33"/>
    </row>
    <row r="66">
      <c r="A66" s="5" t="s">
        <v>1092</v>
      </c>
      <c r="B66" s="24">
        <v>75.0</v>
      </c>
      <c r="C66" s="24"/>
      <c r="D66" s="33"/>
    </row>
    <row r="67">
      <c r="A67" s="5" t="s">
        <v>56</v>
      </c>
      <c r="B67" s="24">
        <v>18.0</v>
      </c>
      <c r="C67" s="24"/>
      <c r="D67" s="33"/>
    </row>
    <row r="68">
      <c r="A68" s="5" t="s">
        <v>58</v>
      </c>
      <c r="B68" s="24">
        <v>380.0</v>
      </c>
      <c r="C68" s="24" t="s">
        <v>1154</v>
      </c>
      <c r="D68" s="33"/>
    </row>
    <row r="69">
      <c r="A69" s="5" t="s">
        <v>47</v>
      </c>
      <c r="B69" s="24">
        <v>26.0</v>
      </c>
      <c r="C69" s="24"/>
      <c r="D69" s="33"/>
    </row>
    <row r="70">
      <c r="A70" s="5" t="s">
        <v>37</v>
      </c>
      <c r="B70" s="24">
        <v>26.0</v>
      </c>
      <c r="C70" s="24"/>
      <c r="D70" s="35"/>
    </row>
    <row r="71">
      <c r="A71" s="5" t="s">
        <v>42</v>
      </c>
      <c r="B71" s="24">
        <v>53.0</v>
      </c>
      <c r="C71" s="24"/>
      <c r="D71" s="33"/>
    </row>
    <row r="72">
      <c r="A72" s="5" t="s">
        <v>56</v>
      </c>
      <c r="B72" s="24">
        <v>78.0</v>
      </c>
      <c r="C72" s="24"/>
      <c r="D72" s="33"/>
    </row>
    <row r="73">
      <c r="A73" s="5" t="s">
        <v>36</v>
      </c>
      <c r="B73" s="24">
        <v>40.0</v>
      </c>
      <c r="C73" s="24"/>
      <c r="D73" s="33"/>
    </row>
    <row r="74">
      <c r="A74" s="5" t="s">
        <v>51</v>
      </c>
      <c r="B74" s="24">
        <v>310.0</v>
      </c>
      <c r="C74" s="24"/>
      <c r="D74" s="33"/>
    </row>
    <row r="75">
      <c r="A75" s="5" t="s">
        <v>37</v>
      </c>
      <c r="B75" s="24">
        <v>20.0</v>
      </c>
      <c r="C75" s="24"/>
      <c r="D75" s="33"/>
    </row>
    <row r="76">
      <c r="A76" s="5" t="s">
        <v>36</v>
      </c>
      <c r="B76" s="24">
        <v>40.0</v>
      </c>
      <c r="C76" s="24"/>
      <c r="D76" s="25"/>
    </row>
    <row r="77">
      <c r="A77" s="5" t="s">
        <v>56</v>
      </c>
      <c r="B77" s="24">
        <v>36.0</v>
      </c>
      <c r="C77" s="24"/>
      <c r="D77" s="25"/>
    </row>
    <row r="78">
      <c r="A78" s="5" t="s">
        <v>36</v>
      </c>
      <c r="B78" s="24">
        <v>140.0</v>
      </c>
      <c r="C78" s="24"/>
      <c r="D78" s="25"/>
    </row>
    <row r="79">
      <c r="A79" s="5" t="s">
        <v>51</v>
      </c>
      <c r="B79" s="24">
        <v>238.0</v>
      </c>
      <c r="C79" s="24"/>
      <c r="D79" s="25"/>
    </row>
    <row r="80">
      <c r="A80" s="5" t="s">
        <v>148</v>
      </c>
      <c r="B80" s="24">
        <v>100.0</v>
      </c>
      <c r="C80" s="24"/>
      <c r="D80" s="25"/>
    </row>
    <row r="81">
      <c r="A81" s="5" t="s">
        <v>56</v>
      </c>
      <c r="B81" s="24">
        <v>1800.0</v>
      </c>
      <c r="C81" s="24" t="s">
        <v>1155</v>
      </c>
      <c r="D81" s="25"/>
    </row>
    <row r="82">
      <c r="A82" s="5" t="s">
        <v>51</v>
      </c>
      <c r="B82" s="24">
        <v>234.0</v>
      </c>
      <c r="C82" s="24"/>
      <c r="D82" s="25"/>
    </row>
    <row r="83">
      <c r="A83" s="5" t="s">
        <v>37</v>
      </c>
      <c r="B83" s="24">
        <v>18.0</v>
      </c>
      <c r="C83" s="24"/>
      <c r="D83" s="25"/>
    </row>
    <row r="84">
      <c r="C84" s="24"/>
      <c r="D84" s="25"/>
    </row>
    <row r="85">
      <c r="A85" s="12"/>
      <c r="B85" s="24"/>
      <c r="C85" s="24"/>
      <c r="D85" s="25"/>
    </row>
    <row r="86"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autoFilter ref="$A$2:$B$83"/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83 A85 A87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10284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58</v>
      </c>
      <c r="B3" s="24">
        <v>339.0</v>
      </c>
      <c r="C3" s="24"/>
      <c r="D3" s="33"/>
      <c r="E3" s="1" t="s">
        <v>34</v>
      </c>
      <c r="F3" s="8">
        <v>29293.0</v>
      </c>
      <c r="H3" s="2">
        <f>Zbiorczy!D35</f>
        <v>102864.68</v>
      </c>
      <c r="J3" s="3">
        <f t="shared" ref="J3:J7" si="1">SUMIF($A$3:A$98, K3, B$3:B$98)</f>
        <v>2350</v>
      </c>
      <c r="K3" s="1" t="s">
        <v>35</v>
      </c>
      <c r="M3" s="3">
        <f t="shared" ref="M3:M8" si="2">SUMIF($A$3:A$98, N3, B$3:B$98)</f>
        <v>2081</v>
      </c>
      <c r="N3" s="1" t="s">
        <v>36</v>
      </c>
    </row>
    <row r="4">
      <c r="A4" s="5" t="s">
        <v>56</v>
      </c>
      <c r="B4" s="24">
        <v>400.0</v>
      </c>
      <c r="C4" s="24" t="s">
        <v>1156</v>
      </c>
      <c r="D4" s="33"/>
      <c r="E4" s="1" t="s">
        <v>1087</v>
      </c>
      <c r="F4" s="8"/>
      <c r="J4" s="3">
        <f t="shared" si="1"/>
        <v>3164</v>
      </c>
      <c r="K4" s="1" t="s">
        <v>40</v>
      </c>
      <c r="M4" s="3">
        <f t="shared" si="2"/>
        <v>10</v>
      </c>
      <c r="N4" s="1" t="s">
        <v>41</v>
      </c>
    </row>
    <row r="5">
      <c r="A5" s="5" t="s">
        <v>56</v>
      </c>
      <c r="B5" s="24">
        <v>87.0</v>
      </c>
      <c r="C5" s="24" t="s">
        <v>1157</v>
      </c>
      <c r="D5" s="35"/>
      <c r="J5" s="3">
        <f t="shared" si="1"/>
        <v>4420</v>
      </c>
      <c r="K5" s="1" t="s">
        <v>46</v>
      </c>
      <c r="M5" s="3">
        <f t="shared" si="2"/>
        <v>2489</v>
      </c>
      <c r="N5" s="1" t="s">
        <v>47</v>
      </c>
    </row>
    <row r="6">
      <c r="A6" s="5" t="s">
        <v>36</v>
      </c>
      <c r="B6" s="24">
        <v>120.0</v>
      </c>
      <c r="C6" s="24"/>
      <c r="D6" s="35"/>
      <c r="J6" s="3">
        <f t="shared" si="1"/>
        <v>350</v>
      </c>
      <c r="K6" s="1" t="s">
        <v>50</v>
      </c>
      <c r="M6" s="3">
        <f t="shared" si="2"/>
        <v>841</v>
      </c>
      <c r="N6" s="1" t="s">
        <v>51</v>
      </c>
    </row>
    <row r="7">
      <c r="A7" s="5" t="s">
        <v>47</v>
      </c>
      <c r="B7" s="24">
        <v>2433.0</v>
      </c>
      <c r="C7" s="28"/>
      <c r="D7" s="33"/>
      <c r="J7" s="3">
        <f t="shared" si="1"/>
        <v>0</v>
      </c>
      <c r="K7" s="1" t="s">
        <v>55</v>
      </c>
      <c r="M7" s="3">
        <f t="shared" si="2"/>
        <v>6695</v>
      </c>
      <c r="N7" s="1" t="s">
        <v>56</v>
      </c>
    </row>
    <row r="8">
      <c r="A8" s="5" t="s">
        <v>56</v>
      </c>
      <c r="B8" s="24">
        <v>55.0</v>
      </c>
      <c r="C8" s="5"/>
      <c r="D8" s="33"/>
      <c r="M8" s="3">
        <f t="shared" si="2"/>
        <v>2489</v>
      </c>
      <c r="N8" s="1" t="s">
        <v>47</v>
      </c>
    </row>
    <row r="9">
      <c r="A9" s="5" t="s">
        <v>42</v>
      </c>
      <c r="B9" s="24">
        <v>16.0</v>
      </c>
      <c r="C9" s="24"/>
      <c r="D9" s="33"/>
    </row>
    <row r="10">
      <c r="A10" s="5" t="s">
        <v>36</v>
      </c>
      <c r="B10" s="24">
        <v>27.0</v>
      </c>
      <c r="C10" s="24"/>
      <c r="D10" s="35"/>
    </row>
    <row r="11">
      <c r="A11" s="5" t="s">
        <v>58</v>
      </c>
      <c r="B11" s="24">
        <v>230.0</v>
      </c>
      <c r="C11" s="24" t="s">
        <v>815</v>
      </c>
      <c r="D11" s="35"/>
    </row>
    <row r="12">
      <c r="A12" s="5" t="s">
        <v>36</v>
      </c>
      <c r="B12" s="24">
        <v>170.0</v>
      </c>
      <c r="C12" s="24"/>
      <c r="D12" s="33"/>
    </row>
    <row r="13">
      <c r="A13" s="5" t="s">
        <v>56</v>
      </c>
      <c r="B13" s="24">
        <v>50.0</v>
      </c>
      <c r="C13" s="24"/>
      <c r="D13" s="33"/>
    </row>
    <row r="14">
      <c r="A14" s="5" t="s">
        <v>56</v>
      </c>
      <c r="B14" s="24">
        <v>310.0</v>
      </c>
      <c r="C14" s="24" t="s">
        <v>1158</v>
      </c>
      <c r="D14" s="33"/>
    </row>
    <row r="15">
      <c r="A15" s="5" t="s">
        <v>56</v>
      </c>
      <c r="B15" s="24">
        <v>133.0</v>
      </c>
      <c r="C15" s="24" t="s">
        <v>1159</v>
      </c>
      <c r="D15" s="33"/>
    </row>
    <row r="16">
      <c r="A16" s="5" t="s">
        <v>58</v>
      </c>
      <c r="B16" s="24">
        <v>83.0</v>
      </c>
      <c r="C16" s="24"/>
      <c r="D16" s="33"/>
    </row>
    <row r="17">
      <c r="A17" s="5" t="s">
        <v>36</v>
      </c>
      <c r="B17" s="24">
        <v>14.0</v>
      </c>
      <c r="C17" s="24"/>
      <c r="D17" s="25"/>
    </row>
    <row r="18">
      <c r="A18" s="5" t="s">
        <v>56</v>
      </c>
      <c r="B18" s="24">
        <v>1500.0</v>
      </c>
      <c r="C18" s="24" t="s">
        <v>1160</v>
      </c>
      <c r="D18" s="33"/>
    </row>
    <row r="19">
      <c r="A19" s="5" t="s">
        <v>56</v>
      </c>
      <c r="B19" s="5">
        <v>260.0</v>
      </c>
      <c r="C19" s="24" t="s">
        <v>1161</v>
      </c>
      <c r="D19" s="33"/>
    </row>
    <row r="20">
      <c r="A20" s="5" t="s">
        <v>50</v>
      </c>
      <c r="B20" s="37">
        <v>350.0</v>
      </c>
      <c r="C20" s="24" t="s">
        <v>780</v>
      </c>
      <c r="D20" s="33"/>
    </row>
    <row r="21">
      <c r="A21" s="5" t="s">
        <v>56</v>
      </c>
      <c r="B21" s="24">
        <v>86.0</v>
      </c>
      <c r="C21" s="24"/>
      <c r="D21" s="33"/>
    </row>
    <row r="22">
      <c r="A22" s="5" t="s">
        <v>56</v>
      </c>
      <c r="B22" s="24">
        <v>30.0</v>
      </c>
      <c r="C22" s="24"/>
      <c r="D22" s="33"/>
    </row>
    <row r="23">
      <c r="A23" s="5" t="s">
        <v>36</v>
      </c>
      <c r="B23" s="39">
        <v>100.0</v>
      </c>
      <c r="C23" s="24"/>
      <c r="D23" s="33"/>
    </row>
    <row r="24">
      <c r="A24" s="5" t="s">
        <v>56</v>
      </c>
      <c r="B24" s="24">
        <v>45.0</v>
      </c>
      <c r="C24" s="24"/>
      <c r="D24" s="33"/>
    </row>
    <row r="25">
      <c r="A25" s="5" t="s">
        <v>42</v>
      </c>
      <c r="B25" s="24">
        <v>135.0</v>
      </c>
      <c r="C25" s="24"/>
      <c r="D25" s="33"/>
    </row>
    <row r="26">
      <c r="A26" s="5" t="s">
        <v>56</v>
      </c>
      <c r="B26" s="24">
        <v>18.0</v>
      </c>
      <c r="C26" s="24"/>
      <c r="D26" s="33"/>
    </row>
    <row r="27">
      <c r="A27" s="5" t="s">
        <v>56</v>
      </c>
      <c r="B27" s="24">
        <v>16.0</v>
      </c>
      <c r="C27" s="24"/>
      <c r="D27" s="33"/>
    </row>
    <row r="28">
      <c r="A28" s="5" t="s">
        <v>56</v>
      </c>
      <c r="B28" s="24">
        <v>64.0</v>
      </c>
      <c r="C28" s="24"/>
      <c r="D28" s="33"/>
    </row>
    <row r="29">
      <c r="A29" s="5"/>
      <c r="B29" s="37">
        <v>150.0</v>
      </c>
      <c r="C29" s="24"/>
      <c r="D29" s="35"/>
    </row>
    <row r="30">
      <c r="A30" s="5" t="s">
        <v>51</v>
      </c>
      <c r="B30" s="37">
        <v>300.0</v>
      </c>
      <c r="C30" s="24"/>
      <c r="D30" s="33"/>
    </row>
    <row r="31">
      <c r="A31" s="5" t="s">
        <v>47</v>
      </c>
      <c r="B31" s="24">
        <v>16.0</v>
      </c>
      <c r="C31" s="24"/>
      <c r="D31" s="33"/>
    </row>
    <row r="32">
      <c r="A32" s="5" t="s">
        <v>36</v>
      </c>
      <c r="B32" s="24">
        <v>100.0</v>
      </c>
      <c r="C32" s="24"/>
      <c r="D32" s="33"/>
    </row>
    <row r="33">
      <c r="A33" s="5" t="s">
        <v>148</v>
      </c>
      <c r="B33" s="24">
        <v>117.0</v>
      </c>
      <c r="C33" s="24"/>
      <c r="D33" s="33"/>
    </row>
    <row r="34">
      <c r="A34" s="5" t="s">
        <v>41</v>
      </c>
      <c r="B34" s="39">
        <v>10.0</v>
      </c>
      <c r="C34" s="24"/>
      <c r="D34" s="33"/>
    </row>
    <row r="35">
      <c r="A35" s="5" t="s">
        <v>51</v>
      </c>
      <c r="B35" s="24">
        <v>65.0</v>
      </c>
      <c r="C35" s="24"/>
      <c r="D35" s="33"/>
    </row>
    <row r="36">
      <c r="A36" s="5" t="s">
        <v>794</v>
      </c>
      <c r="B36" s="24">
        <v>4420.0</v>
      </c>
      <c r="C36" s="24"/>
      <c r="D36" s="33"/>
    </row>
    <row r="37">
      <c r="A37" s="5" t="s">
        <v>40</v>
      </c>
      <c r="B37" s="38">
        <v>3164.0</v>
      </c>
      <c r="C37" s="24"/>
      <c r="D37" s="33"/>
    </row>
    <row r="38">
      <c r="A38" s="5" t="s">
        <v>56</v>
      </c>
      <c r="B38" s="24">
        <v>1450.0</v>
      </c>
      <c r="C38" s="24" t="s">
        <v>890</v>
      </c>
      <c r="D38" s="33"/>
    </row>
    <row r="39">
      <c r="A39" s="5" t="s">
        <v>36</v>
      </c>
      <c r="B39" s="24">
        <v>100.0</v>
      </c>
      <c r="C39" s="24"/>
      <c r="D39" s="33"/>
    </row>
    <row r="40">
      <c r="A40" s="5" t="s">
        <v>148</v>
      </c>
      <c r="B40" s="24">
        <v>28.0</v>
      </c>
      <c r="C40" s="24"/>
      <c r="D40" s="33"/>
    </row>
    <row r="41">
      <c r="A41" s="5" t="s">
        <v>35</v>
      </c>
      <c r="B41" s="24">
        <v>2350.0</v>
      </c>
      <c r="C41" s="24"/>
      <c r="D41" s="33"/>
    </row>
    <row r="42">
      <c r="A42" s="5" t="s">
        <v>56</v>
      </c>
      <c r="B42" s="24">
        <v>180.0</v>
      </c>
      <c r="C42" s="24"/>
      <c r="D42" s="33"/>
    </row>
    <row r="43">
      <c r="A43" s="5" t="s">
        <v>36</v>
      </c>
      <c r="B43" s="24">
        <v>110.0</v>
      </c>
      <c r="C43" s="24"/>
      <c r="D43" s="33"/>
    </row>
    <row r="44">
      <c r="A44" s="5" t="s">
        <v>56</v>
      </c>
      <c r="B44" s="24">
        <v>1000.0</v>
      </c>
      <c r="C44" s="24" t="s">
        <v>1162</v>
      </c>
      <c r="D44" s="33"/>
    </row>
    <row r="45">
      <c r="A45" s="5" t="s">
        <v>36</v>
      </c>
      <c r="B45" s="24">
        <v>130.0</v>
      </c>
      <c r="C45" s="24"/>
      <c r="D45" s="33"/>
    </row>
    <row r="46">
      <c r="A46" s="5" t="s">
        <v>56</v>
      </c>
      <c r="B46" s="24">
        <v>6.0</v>
      </c>
      <c r="C46" s="24"/>
      <c r="D46" s="33"/>
    </row>
    <row r="47">
      <c r="A47" s="5" t="s">
        <v>58</v>
      </c>
      <c r="B47" s="24">
        <v>45.0</v>
      </c>
      <c r="C47" s="24"/>
      <c r="D47" s="33"/>
    </row>
    <row r="48">
      <c r="A48" s="5" t="s">
        <v>36</v>
      </c>
      <c r="B48" s="24">
        <v>200.0</v>
      </c>
      <c r="C48" s="24"/>
      <c r="D48" s="33"/>
    </row>
    <row r="49">
      <c r="A49" s="5" t="s">
        <v>36</v>
      </c>
      <c r="B49" s="24">
        <v>120.0</v>
      </c>
      <c r="C49" s="24"/>
      <c r="D49" s="33"/>
    </row>
    <row r="50">
      <c r="A50" s="5" t="s">
        <v>51</v>
      </c>
      <c r="B50" s="24">
        <v>260.0</v>
      </c>
      <c r="C50" s="24"/>
      <c r="D50" s="33"/>
    </row>
    <row r="51">
      <c r="A51" s="5" t="s">
        <v>73</v>
      </c>
      <c r="B51" s="24">
        <v>300.0</v>
      </c>
      <c r="C51" s="24"/>
      <c r="D51" s="33"/>
    </row>
    <row r="52">
      <c r="A52" s="5" t="s">
        <v>56</v>
      </c>
      <c r="B52" s="24">
        <v>60.0</v>
      </c>
      <c r="C52" s="24" t="s">
        <v>1163</v>
      </c>
      <c r="D52" s="33"/>
    </row>
    <row r="53">
      <c r="A53" s="5" t="s">
        <v>47</v>
      </c>
      <c r="B53" s="24">
        <v>40.0</v>
      </c>
      <c r="C53" s="24" t="s">
        <v>1164</v>
      </c>
      <c r="D53" s="33"/>
    </row>
    <row r="54">
      <c r="A54" s="5" t="s">
        <v>56</v>
      </c>
      <c r="B54" s="24">
        <v>140.0</v>
      </c>
      <c r="C54" s="24" t="s">
        <v>806</v>
      </c>
      <c r="D54" s="33"/>
    </row>
    <row r="55">
      <c r="A55" s="5" t="s">
        <v>36</v>
      </c>
      <c r="B55" s="24">
        <v>16.0</v>
      </c>
      <c r="C55" s="24"/>
      <c r="D55" s="33"/>
    </row>
    <row r="56">
      <c r="A56" s="5" t="s">
        <v>842</v>
      </c>
      <c r="B56" s="24">
        <v>28.0</v>
      </c>
      <c r="C56" s="24"/>
      <c r="D56" s="33"/>
    </row>
    <row r="57">
      <c r="A57" s="5" t="s">
        <v>58</v>
      </c>
      <c r="B57" s="24">
        <v>200.0</v>
      </c>
      <c r="C57" s="24"/>
      <c r="D57" s="33"/>
    </row>
    <row r="58">
      <c r="A58" s="5" t="s">
        <v>56</v>
      </c>
      <c r="B58" s="24">
        <v>200.0</v>
      </c>
      <c r="C58" s="24" t="s">
        <v>966</v>
      </c>
      <c r="D58" s="33"/>
    </row>
    <row r="59">
      <c r="A59" s="5" t="s">
        <v>56</v>
      </c>
      <c r="B59" s="24">
        <v>125.0</v>
      </c>
      <c r="C59" s="24" t="s">
        <v>1165</v>
      </c>
      <c r="D59" s="33"/>
    </row>
    <row r="60">
      <c r="A60" s="5" t="s">
        <v>56</v>
      </c>
      <c r="B60" s="24">
        <v>280.0</v>
      </c>
      <c r="C60" s="24" t="s">
        <v>1166</v>
      </c>
      <c r="D60" s="33"/>
    </row>
    <row r="61">
      <c r="A61" s="5" t="s">
        <v>772</v>
      </c>
      <c r="B61" s="24">
        <v>25.0</v>
      </c>
      <c r="C61" s="24"/>
      <c r="D61" s="33"/>
    </row>
    <row r="62">
      <c r="A62" s="5" t="s">
        <v>36</v>
      </c>
      <c r="B62" s="24">
        <v>874.0</v>
      </c>
      <c r="C62" s="24"/>
      <c r="D62" s="33"/>
    </row>
    <row r="63">
      <c r="A63" s="5" t="s">
        <v>51</v>
      </c>
      <c r="B63" s="24">
        <v>216.0</v>
      </c>
      <c r="C63" s="24"/>
      <c r="D63" s="33"/>
    </row>
    <row r="64">
      <c r="A64" s="5" t="s">
        <v>56</v>
      </c>
      <c r="B64" s="24">
        <v>200.0</v>
      </c>
      <c r="C64" s="24" t="s">
        <v>777</v>
      </c>
      <c r="D64" s="33"/>
    </row>
    <row r="65">
      <c r="A65" s="5"/>
      <c r="B65" s="24"/>
      <c r="C65" s="24"/>
      <c r="D65" s="33"/>
    </row>
    <row r="66">
      <c r="A66" s="5"/>
      <c r="B66" s="24"/>
      <c r="C66" s="24"/>
      <c r="D66" s="33"/>
    </row>
    <row r="67">
      <c r="A67" s="5"/>
      <c r="B67" s="24"/>
      <c r="C67" s="24"/>
      <c r="D67" s="33"/>
    </row>
    <row r="68">
      <c r="A68" s="5"/>
      <c r="B68" s="24"/>
      <c r="C68" s="24"/>
      <c r="D68" s="33"/>
    </row>
    <row r="69">
      <c r="A69" s="5"/>
      <c r="B69" s="24"/>
      <c r="C69" s="24"/>
      <c r="D69" s="33"/>
    </row>
    <row r="70">
      <c r="A70" s="5"/>
      <c r="B70" s="24"/>
      <c r="C70" s="24"/>
      <c r="D70" s="35"/>
    </row>
    <row r="71">
      <c r="A71" s="5"/>
      <c r="B71" s="24"/>
      <c r="C71" s="24"/>
      <c r="D71" s="33"/>
    </row>
    <row r="72">
      <c r="A72" s="5"/>
      <c r="B72" s="24"/>
      <c r="C72" s="24"/>
      <c r="D72" s="33"/>
    </row>
    <row r="73">
      <c r="A73" s="5"/>
      <c r="B73" s="24"/>
      <c r="C73" s="24"/>
      <c r="D73" s="33"/>
    </row>
    <row r="74">
      <c r="A74" s="5"/>
      <c r="B74" s="24"/>
      <c r="C74" s="24"/>
      <c r="D74" s="33"/>
    </row>
    <row r="75">
      <c r="A75" s="5"/>
      <c r="B75" s="24"/>
      <c r="C75" s="24"/>
      <c r="D75" s="33"/>
    </row>
    <row r="76">
      <c r="A76" s="5"/>
      <c r="B76" s="24"/>
      <c r="C76" s="24"/>
      <c r="D76" s="25"/>
    </row>
    <row r="77">
      <c r="A77" s="5"/>
      <c r="B77" s="24"/>
      <c r="C77" s="24"/>
      <c r="D77" s="25"/>
    </row>
    <row r="78">
      <c r="A78" s="5"/>
      <c r="B78" s="24"/>
      <c r="C78" s="24"/>
      <c r="D78" s="25"/>
    </row>
    <row r="79">
      <c r="A79" s="5"/>
      <c r="B79" s="24"/>
      <c r="C79" s="24"/>
      <c r="D79" s="25"/>
    </row>
    <row r="80">
      <c r="A80" s="5"/>
      <c r="B80" s="24"/>
      <c r="C80" s="24"/>
      <c r="D80" s="25"/>
    </row>
    <row r="81">
      <c r="A81" s="5"/>
      <c r="B81" s="24"/>
      <c r="C81" s="24"/>
      <c r="D81" s="25"/>
    </row>
    <row r="82">
      <c r="A82" s="5"/>
      <c r="B82" s="24"/>
      <c r="C82" s="24"/>
      <c r="D82" s="25"/>
    </row>
    <row r="83">
      <c r="A83" s="12"/>
      <c r="B83" s="24"/>
      <c r="C83" s="24"/>
      <c r="D83" s="25"/>
    </row>
    <row r="84">
      <c r="A84" s="12"/>
      <c r="B84" s="24"/>
      <c r="C84" s="24"/>
      <c r="D84" s="25"/>
    </row>
    <row r="85">
      <c r="A85" s="12"/>
      <c r="B85" s="24"/>
      <c r="C85" s="24"/>
      <c r="D85" s="25"/>
    </row>
    <row r="86">
      <c r="A86" s="12"/>
      <c r="B86" s="24"/>
      <c r="C86" s="24"/>
      <c r="D86" s="25"/>
    </row>
    <row r="87">
      <c r="A87" s="12"/>
      <c r="B87" s="24"/>
      <c r="C87" s="24"/>
      <c r="D87" s="25"/>
    </row>
    <row r="88">
      <c r="A88" s="12"/>
      <c r="B88" s="24"/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autoFilter ref="$A$2:$B$64"/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5"/>
      <c r="C1" s="5"/>
      <c r="E1" s="1" t="s">
        <v>27</v>
      </c>
      <c r="H1" s="1" t="s">
        <v>28</v>
      </c>
      <c r="J1" s="1" t="s">
        <v>29</v>
      </c>
      <c r="K1" s="6">
        <f>SUM(J3:J999)</f>
        <v>13855</v>
      </c>
    </row>
    <row r="2">
      <c r="A2" s="5" t="s">
        <v>30</v>
      </c>
      <c r="B2" s="24" t="s">
        <v>31</v>
      </c>
      <c r="C2" s="24" t="s">
        <v>32</v>
      </c>
      <c r="D2" s="1" t="s">
        <v>33</v>
      </c>
    </row>
    <row r="3">
      <c r="A3" s="5" t="s">
        <v>51</v>
      </c>
      <c r="B3" s="24">
        <v>292.0</v>
      </c>
      <c r="C3" s="24"/>
      <c r="D3" s="33"/>
      <c r="E3" s="1" t="s">
        <v>34</v>
      </c>
      <c r="F3" s="8">
        <v>34317.0</v>
      </c>
      <c r="H3" s="2">
        <f>Zbiorczy!D34</f>
        <v>95312.35</v>
      </c>
      <c r="J3" s="3">
        <f t="shared" ref="J3:J7" si="1">SUMIF($A$3:A$98, K3, B$3:B$98)</f>
        <v>2100</v>
      </c>
      <c r="K3" s="1" t="s">
        <v>35</v>
      </c>
      <c r="M3" s="3">
        <f t="shared" ref="M3:M8" si="2">SUMIF($A$3:A$98, N3, B$3:B$98)</f>
        <v>1509</v>
      </c>
      <c r="N3" s="1" t="s">
        <v>36</v>
      </c>
    </row>
    <row r="4">
      <c r="A4" s="5" t="s">
        <v>56</v>
      </c>
      <c r="B4" s="24">
        <v>3200.0</v>
      </c>
      <c r="C4" s="24" t="s">
        <v>1167</v>
      </c>
      <c r="D4" s="33"/>
      <c r="E4" s="1" t="s">
        <v>1087</v>
      </c>
      <c r="F4" s="8">
        <v>700.0</v>
      </c>
      <c r="J4" s="3">
        <f t="shared" si="1"/>
        <v>3762</v>
      </c>
      <c r="K4" s="1" t="s">
        <v>40</v>
      </c>
      <c r="M4" s="3">
        <f t="shared" si="2"/>
        <v>83</v>
      </c>
      <c r="N4" s="1" t="s">
        <v>41</v>
      </c>
    </row>
    <row r="5">
      <c r="A5" s="5" t="s">
        <v>50</v>
      </c>
      <c r="B5" s="24">
        <v>173.0</v>
      </c>
      <c r="C5" s="24" t="s">
        <v>1168</v>
      </c>
      <c r="D5" s="35"/>
      <c r="J5" s="3">
        <f t="shared" si="1"/>
        <v>6046</v>
      </c>
      <c r="K5" s="1" t="s">
        <v>46</v>
      </c>
      <c r="M5" s="3">
        <f t="shared" si="2"/>
        <v>2759.67</v>
      </c>
      <c r="N5" s="1" t="s">
        <v>47</v>
      </c>
    </row>
    <row r="6">
      <c r="A6" s="5" t="s">
        <v>56</v>
      </c>
      <c r="B6" s="24">
        <v>205.0</v>
      </c>
      <c r="C6" s="24" t="s">
        <v>859</v>
      </c>
      <c r="D6" s="35"/>
      <c r="J6" s="3">
        <f t="shared" si="1"/>
        <v>1947</v>
      </c>
      <c r="K6" s="1" t="s">
        <v>50</v>
      </c>
      <c r="M6" s="3">
        <f t="shared" si="2"/>
        <v>1050</v>
      </c>
      <c r="N6" s="1" t="s">
        <v>51</v>
      </c>
    </row>
    <row r="7">
      <c r="A7" s="5" t="s">
        <v>36</v>
      </c>
      <c r="B7" s="24">
        <v>56.0</v>
      </c>
      <c r="C7" s="28"/>
      <c r="D7" s="33"/>
      <c r="J7" s="3">
        <f t="shared" si="1"/>
        <v>0</v>
      </c>
      <c r="K7" s="1" t="s">
        <v>55</v>
      </c>
      <c r="M7" s="3">
        <f t="shared" si="2"/>
        <v>5869</v>
      </c>
      <c r="N7" s="1" t="s">
        <v>56</v>
      </c>
    </row>
    <row r="8">
      <c r="A8" s="5" t="s">
        <v>56</v>
      </c>
      <c r="B8" s="24">
        <v>100.0</v>
      </c>
      <c r="C8" s="5" t="s">
        <v>1169</v>
      </c>
      <c r="D8" s="33"/>
      <c r="M8" s="3">
        <f t="shared" si="2"/>
        <v>2759.67</v>
      </c>
      <c r="N8" s="1" t="s">
        <v>47</v>
      </c>
    </row>
    <row r="9">
      <c r="A9" s="5" t="s">
        <v>56</v>
      </c>
      <c r="B9" s="24">
        <v>37.0</v>
      </c>
      <c r="C9" s="24" t="s">
        <v>1170</v>
      </c>
      <c r="D9" s="33"/>
    </row>
    <row r="10">
      <c r="A10" s="5" t="s">
        <v>41</v>
      </c>
      <c r="B10" s="24">
        <v>27.0</v>
      </c>
      <c r="C10" s="24"/>
      <c r="D10" s="35"/>
    </row>
    <row r="11">
      <c r="A11" s="5" t="s">
        <v>56</v>
      </c>
      <c r="B11" s="24">
        <v>122.0</v>
      </c>
      <c r="C11" s="24" t="s">
        <v>1171</v>
      </c>
      <c r="D11" s="35"/>
    </row>
    <row r="12">
      <c r="A12" s="5" t="s">
        <v>41</v>
      </c>
      <c r="B12" s="24">
        <v>13.0</v>
      </c>
      <c r="C12" s="24"/>
      <c r="D12" s="33"/>
    </row>
    <row r="13">
      <c r="A13" s="5" t="s">
        <v>47</v>
      </c>
      <c r="B13" s="24">
        <v>18.0</v>
      </c>
      <c r="C13" s="24"/>
      <c r="D13" s="33"/>
    </row>
    <row r="14">
      <c r="A14" s="5" t="s">
        <v>1172</v>
      </c>
      <c r="B14" s="24">
        <v>264.0</v>
      </c>
      <c r="C14" s="24"/>
      <c r="D14" s="33"/>
    </row>
    <row r="15">
      <c r="A15" s="5" t="s">
        <v>42</v>
      </c>
      <c r="B15" s="24">
        <v>260.0</v>
      </c>
      <c r="C15" s="24"/>
      <c r="D15" s="33"/>
    </row>
    <row r="16">
      <c r="A16" s="5" t="s">
        <v>1172</v>
      </c>
      <c r="B16" s="24">
        <v>15.0</v>
      </c>
      <c r="C16" s="24"/>
      <c r="D16" s="33"/>
    </row>
    <row r="17">
      <c r="A17" s="5" t="s">
        <v>56</v>
      </c>
      <c r="B17" s="24">
        <v>90.0</v>
      </c>
      <c r="C17" s="24"/>
      <c r="D17" s="25"/>
    </row>
    <row r="18">
      <c r="A18" s="5" t="s">
        <v>56</v>
      </c>
      <c r="B18" s="24">
        <v>78.0</v>
      </c>
      <c r="C18" s="24" t="s">
        <v>1173</v>
      </c>
      <c r="D18" s="33"/>
    </row>
    <row r="19">
      <c r="A19" s="5" t="s">
        <v>47</v>
      </c>
      <c r="B19" s="5">
        <v>10.0</v>
      </c>
      <c r="C19" s="24"/>
      <c r="D19" s="33"/>
    </row>
    <row r="20">
      <c r="A20" s="5" t="s">
        <v>148</v>
      </c>
      <c r="B20" s="37">
        <v>57.0</v>
      </c>
      <c r="C20" s="24"/>
      <c r="D20" s="33"/>
    </row>
    <row r="21">
      <c r="A21" s="5" t="s">
        <v>58</v>
      </c>
      <c r="B21" s="24">
        <v>100.0</v>
      </c>
      <c r="C21" s="24" t="s">
        <v>1174</v>
      </c>
      <c r="D21" s="33"/>
    </row>
    <row r="22">
      <c r="A22" s="5" t="s">
        <v>56</v>
      </c>
      <c r="B22" s="24">
        <v>57.0</v>
      </c>
      <c r="C22" s="24" t="s">
        <v>1175</v>
      </c>
      <c r="D22" s="33"/>
    </row>
    <row r="23">
      <c r="A23" s="5" t="s">
        <v>1176</v>
      </c>
      <c r="B23" s="39">
        <v>83.0</v>
      </c>
      <c r="C23" s="24"/>
      <c r="D23" s="33"/>
    </row>
    <row r="24">
      <c r="A24" s="5" t="s">
        <v>36</v>
      </c>
      <c r="B24" s="24">
        <v>82.0</v>
      </c>
      <c r="C24" s="24"/>
      <c r="D24" s="33"/>
    </row>
    <row r="25">
      <c r="A25" s="5" t="s">
        <v>47</v>
      </c>
      <c r="B25" s="24">
        <v>2434.67</v>
      </c>
      <c r="C25" s="24"/>
      <c r="D25" s="33"/>
    </row>
    <row r="26">
      <c r="A26" s="5" t="s">
        <v>58</v>
      </c>
      <c r="B26" s="24">
        <v>83.0</v>
      </c>
      <c r="C26" s="24" t="s">
        <v>1177</v>
      </c>
      <c r="D26" s="33"/>
    </row>
    <row r="27">
      <c r="A27" s="5" t="s">
        <v>58</v>
      </c>
      <c r="B27" s="24">
        <v>228.0</v>
      </c>
      <c r="C27" s="24" t="s">
        <v>815</v>
      </c>
      <c r="D27" s="33"/>
    </row>
    <row r="28">
      <c r="A28" s="5" t="s">
        <v>50</v>
      </c>
      <c r="B28" s="24">
        <v>1344.0</v>
      </c>
      <c r="C28" s="24"/>
      <c r="D28" s="33"/>
    </row>
    <row r="29">
      <c r="A29" s="5" t="s">
        <v>41</v>
      </c>
      <c r="B29" s="37">
        <v>20.0</v>
      </c>
      <c r="C29" s="24"/>
      <c r="D29" s="35"/>
    </row>
    <row r="30">
      <c r="A30" s="5" t="s">
        <v>51</v>
      </c>
      <c r="B30" s="37">
        <v>270.0</v>
      </c>
      <c r="C30" s="24"/>
      <c r="D30" s="33"/>
    </row>
    <row r="31">
      <c r="A31" s="5" t="s">
        <v>47</v>
      </c>
      <c r="B31" s="24">
        <v>20.0</v>
      </c>
      <c r="C31" s="24"/>
      <c r="D31" s="33"/>
    </row>
    <row r="32">
      <c r="A32" s="5" t="s">
        <v>56</v>
      </c>
      <c r="B32" s="24">
        <v>225.0</v>
      </c>
      <c r="C32" s="24" t="s">
        <v>1178</v>
      </c>
      <c r="D32" s="33"/>
    </row>
    <row r="33">
      <c r="A33" s="5" t="s">
        <v>50</v>
      </c>
      <c r="B33" s="24">
        <v>40.0</v>
      </c>
      <c r="C33" s="24"/>
      <c r="D33" s="33"/>
    </row>
    <row r="34">
      <c r="A34" s="5" t="s">
        <v>41</v>
      </c>
      <c r="B34" s="39">
        <v>16.0</v>
      </c>
      <c r="C34" s="24"/>
      <c r="D34" s="33"/>
    </row>
    <row r="35">
      <c r="A35" s="5" t="s">
        <v>73</v>
      </c>
      <c r="B35" s="24">
        <v>150.0</v>
      </c>
      <c r="C35" s="24" t="s">
        <v>1179</v>
      </c>
      <c r="D35" s="33"/>
    </row>
    <row r="36">
      <c r="A36" s="5" t="s">
        <v>36</v>
      </c>
      <c r="B36" s="24">
        <v>12.0</v>
      </c>
      <c r="C36" s="24"/>
      <c r="D36" s="33"/>
    </row>
    <row r="37">
      <c r="A37" s="5" t="s">
        <v>47</v>
      </c>
      <c r="B37" s="24">
        <v>250.0</v>
      </c>
      <c r="C37" s="24"/>
      <c r="D37" s="33"/>
    </row>
    <row r="38">
      <c r="A38" s="5" t="s">
        <v>51</v>
      </c>
      <c r="B38" s="24">
        <v>101.0</v>
      </c>
      <c r="C38" s="24"/>
      <c r="D38" s="33"/>
    </row>
    <row r="39">
      <c r="A39" s="5" t="s">
        <v>51</v>
      </c>
      <c r="B39" s="24">
        <v>87.0</v>
      </c>
      <c r="C39" s="24"/>
      <c r="D39" s="33"/>
    </row>
    <row r="40">
      <c r="A40" s="5" t="s">
        <v>36</v>
      </c>
      <c r="B40" s="24">
        <v>60.0</v>
      </c>
      <c r="C40" s="24"/>
      <c r="D40" s="33"/>
    </row>
    <row r="41">
      <c r="A41" s="5" t="s">
        <v>56</v>
      </c>
      <c r="B41" s="24">
        <v>40.0</v>
      </c>
      <c r="C41" s="24" t="s">
        <v>1180</v>
      </c>
      <c r="D41" s="33"/>
    </row>
    <row r="42">
      <c r="A42" s="5" t="s">
        <v>56</v>
      </c>
      <c r="B42" s="24">
        <v>164.0</v>
      </c>
      <c r="C42" s="24" t="s">
        <v>1181</v>
      </c>
      <c r="D42" s="33"/>
    </row>
    <row r="43">
      <c r="A43" s="5" t="s">
        <v>56</v>
      </c>
      <c r="B43" s="24">
        <v>60.0</v>
      </c>
      <c r="C43" s="24" t="s">
        <v>1182</v>
      </c>
      <c r="D43" s="33"/>
    </row>
    <row r="44">
      <c r="A44" s="5" t="s">
        <v>36</v>
      </c>
      <c r="B44" s="24">
        <v>21.0</v>
      </c>
      <c r="C44" s="24"/>
      <c r="D44" s="33"/>
    </row>
    <row r="45">
      <c r="A45" s="5" t="s">
        <v>56</v>
      </c>
      <c r="B45" s="24">
        <v>320.0</v>
      </c>
      <c r="C45" s="24" t="s">
        <v>1091</v>
      </c>
      <c r="D45" s="33"/>
    </row>
    <row r="46">
      <c r="A46" s="5" t="s">
        <v>772</v>
      </c>
      <c r="B46" s="24">
        <v>16.0</v>
      </c>
      <c r="C46" s="24"/>
      <c r="D46" s="33"/>
    </row>
    <row r="47">
      <c r="A47" s="5" t="s">
        <v>42</v>
      </c>
      <c r="B47" s="24">
        <v>60.0</v>
      </c>
      <c r="C47" s="24"/>
      <c r="D47" s="33"/>
    </row>
    <row r="48">
      <c r="A48" s="5" t="s">
        <v>307</v>
      </c>
      <c r="B48" s="24">
        <v>340.0</v>
      </c>
      <c r="C48" s="24"/>
      <c r="D48" s="33"/>
    </row>
    <row r="49">
      <c r="A49" s="5" t="s">
        <v>36</v>
      </c>
      <c r="B49" s="24">
        <v>15.0</v>
      </c>
      <c r="C49" s="24"/>
      <c r="D49" s="33"/>
    </row>
    <row r="50">
      <c r="A50" s="5" t="s">
        <v>37</v>
      </c>
      <c r="B50" s="24">
        <v>70.0</v>
      </c>
      <c r="C50" s="24" t="s">
        <v>1183</v>
      </c>
      <c r="D50" s="33"/>
    </row>
    <row r="51">
      <c r="A51" s="5" t="s">
        <v>46</v>
      </c>
      <c r="B51" s="24">
        <v>6046.0</v>
      </c>
      <c r="C51" s="24"/>
      <c r="D51" s="33"/>
    </row>
    <row r="52">
      <c r="A52" s="5" t="s">
        <v>40</v>
      </c>
      <c r="B52" s="24">
        <v>3762.0</v>
      </c>
      <c r="C52" s="24"/>
      <c r="D52" s="33"/>
    </row>
    <row r="53">
      <c r="A53" s="5" t="s">
        <v>56</v>
      </c>
      <c r="B53" s="24">
        <v>23.0</v>
      </c>
      <c r="C53" s="24"/>
      <c r="D53" s="33"/>
    </row>
    <row r="54">
      <c r="A54" s="5" t="s">
        <v>36</v>
      </c>
      <c r="B54" s="24">
        <v>177.0</v>
      </c>
      <c r="C54" s="24"/>
      <c r="D54" s="33"/>
    </row>
    <row r="55">
      <c r="A55" s="5" t="s">
        <v>772</v>
      </c>
      <c r="B55" s="24">
        <v>25.0</v>
      </c>
      <c r="C55" s="24"/>
      <c r="D55" s="33"/>
    </row>
    <row r="56">
      <c r="A56" s="5" t="s">
        <v>36</v>
      </c>
      <c r="B56" s="24">
        <v>13.0</v>
      </c>
      <c r="C56" s="24"/>
      <c r="D56" s="33"/>
    </row>
    <row r="57">
      <c r="A57" s="5" t="s">
        <v>56</v>
      </c>
      <c r="B57" s="24">
        <v>42.0</v>
      </c>
      <c r="C57" s="24"/>
      <c r="D57" s="33"/>
    </row>
    <row r="58">
      <c r="A58" s="5" t="s">
        <v>50</v>
      </c>
      <c r="B58" s="24">
        <v>100.0</v>
      </c>
      <c r="C58" s="24"/>
      <c r="D58" s="33"/>
    </row>
    <row r="59">
      <c r="A59" s="5" t="s">
        <v>56</v>
      </c>
      <c r="B59" s="24">
        <v>55.0</v>
      </c>
      <c r="C59" s="24" t="s">
        <v>1184</v>
      </c>
      <c r="D59" s="33"/>
    </row>
    <row r="60">
      <c r="A60" s="5" t="s">
        <v>56</v>
      </c>
      <c r="B60" s="24">
        <v>20.0</v>
      </c>
      <c r="C60" s="24" t="s">
        <v>1185</v>
      </c>
      <c r="D60" s="33"/>
    </row>
    <row r="61">
      <c r="A61" s="5" t="s">
        <v>36</v>
      </c>
      <c r="B61" s="24">
        <v>15.0</v>
      </c>
      <c r="C61" s="24"/>
      <c r="D61" s="33"/>
    </row>
    <row r="62">
      <c r="A62" s="5" t="s">
        <v>201</v>
      </c>
      <c r="B62" s="24">
        <v>2100.0</v>
      </c>
      <c r="C62" s="24"/>
      <c r="D62" s="33"/>
    </row>
    <row r="63">
      <c r="A63" s="5" t="s">
        <v>56</v>
      </c>
      <c r="B63" s="24">
        <v>130.0</v>
      </c>
      <c r="C63" s="24" t="s">
        <v>1186</v>
      </c>
      <c r="D63" s="33"/>
    </row>
    <row r="64">
      <c r="A64" s="5" t="s">
        <v>36</v>
      </c>
      <c r="B64" s="24">
        <v>30.0</v>
      </c>
      <c r="C64" s="24"/>
      <c r="D64" s="33"/>
    </row>
    <row r="65">
      <c r="A65" s="5" t="s">
        <v>56</v>
      </c>
      <c r="B65" s="24">
        <v>162.0</v>
      </c>
      <c r="C65" s="24" t="s">
        <v>883</v>
      </c>
      <c r="D65" s="33"/>
    </row>
    <row r="66">
      <c r="A66" s="5" t="s">
        <v>36</v>
      </c>
      <c r="B66" s="24">
        <v>80.0</v>
      </c>
      <c r="C66" s="24"/>
      <c r="D66" s="33"/>
    </row>
    <row r="67">
      <c r="A67" s="5" t="s">
        <v>56</v>
      </c>
      <c r="B67" s="24">
        <v>62.0</v>
      </c>
      <c r="C67" s="24" t="s">
        <v>1187</v>
      </c>
      <c r="D67" s="33"/>
    </row>
    <row r="68">
      <c r="A68" s="5" t="s">
        <v>56</v>
      </c>
      <c r="B68" s="24">
        <v>32.0</v>
      </c>
      <c r="C68" s="24"/>
      <c r="D68" s="33"/>
    </row>
    <row r="69">
      <c r="A69" s="5" t="s">
        <v>36</v>
      </c>
      <c r="B69" s="24">
        <v>240.0</v>
      </c>
      <c r="C69" s="24"/>
      <c r="D69" s="33"/>
    </row>
    <row r="70">
      <c r="A70" s="5" t="s">
        <v>56</v>
      </c>
      <c r="B70" s="24">
        <v>210.0</v>
      </c>
      <c r="C70" s="24"/>
      <c r="D70" s="35"/>
    </row>
    <row r="71">
      <c r="A71" s="5" t="s">
        <v>56</v>
      </c>
      <c r="B71" s="24">
        <v>240.0</v>
      </c>
      <c r="C71" s="24"/>
      <c r="D71" s="33"/>
    </row>
    <row r="72">
      <c r="A72" s="5" t="s">
        <v>73</v>
      </c>
      <c r="B72" s="24">
        <v>142.0</v>
      </c>
      <c r="C72" s="24"/>
      <c r="D72" s="33"/>
    </row>
    <row r="73">
      <c r="A73" s="5" t="s">
        <v>41</v>
      </c>
      <c r="B73" s="24">
        <v>7.0</v>
      </c>
      <c r="C73" s="24"/>
      <c r="D73" s="33"/>
    </row>
    <row r="74">
      <c r="A74" s="5" t="s">
        <v>47</v>
      </c>
      <c r="B74" s="24">
        <v>27.0</v>
      </c>
      <c r="C74" s="24"/>
      <c r="D74" s="33"/>
    </row>
    <row r="75">
      <c r="A75" s="5" t="s">
        <v>56</v>
      </c>
      <c r="B75" s="24">
        <v>48.0</v>
      </c>
      <c r="C75" s="24"/>
      <c r="D75" s="33"/>
    </row>
    <row r="76">
      <c r="A76" s="5" t="s">
        <v>56</v>
      </c>
      <c r="B76" s="24">
        <v>27.0</v>
      </c>
      <c r="C76" s="24"/>
      <c r="D76" s="25"/>
    </row>
    <row r="77">
      <c r="A77" s="5" t="s">
        <v>56</v>
      </c>
      <c r="B77" s="24">
        <v>120.0</v>
      </c>
      <c r="C77" s="24"/>
      <c r="D77" s="25"/>
    </row>
    <row r="78">
      <c r="A78" s="5" t="s">
        <v>148</v>
      </c>
      <c r="B78" s="24">
        <v>90.0</v>
      </c>
      <c r="C78" s="24"/>
      <c r="D78" s="25"/>
    </row>
    <row r="79">
      <c r="A79" s="5" t="s">
        <v>73</v>
      </c>
      <c r="B79" s="24">
        <v>300.0</v>
      </c>
      <c r="C79" s="24"/>
      <c r="D79" s="25"/>
    </row>
    <row r="80">
      <c r="A80" s="5" t="s">
        <v>51</v>
      </c>
      <c r="B80" s="24">
        <v>300.0</v>
      </c>
      <c r="C80" s="24"/>
      <c r="D80" s="25"/>
    </row>
    <row r="81">
      <c r="A81" s="5" t="s">
        <v>36</v>
      </c>
      <c r="B81" s="24">
        <v>64.0</v>
      </c>
      <c r="C81" s="24"/>
      <c r="D81" s="25"/>
    </row>
    <row r="82">
      <c r="A82" s="5" t="s">
        <v>42</v>
      </c>
      <c r="B82" s="24">
        <v>56.0</v>
      </c>
      <c r="C82" s="24"/>
      <c r="D82" s="25"/>
    </row>
    <row r="83">
      <c r="A83" s="5" t="s">
        <v>50</v>
      </c>
      <c r="B83" s="24">
        <v>290.0</v>
      </c>
      <c r="C83" s="24"/>
      <c r="D83" s="25"/>
    </row>
    <row r="84">
      <c r="A84" s="5" t="s">
        <v>36</v>
      </c>
      <c r="B84" s="24">
        <v>220.0</v>
      </c>
      <c r="C84" s="24"/>
      <c r="D84" s="25"/>
    </row>
    <row r="85">
      <c r="A85" s="5" t="s">
        <v>36</v>
      </c>
      <c r="B85" s="24">
        <v>424.0</v>
      </c>
      <c r="C85" s="24"/>
      <c r="D85" s="25"/>
    </row>
    <row r="86">
      <c r="C86" s="24"/>
      <c r="D86" s="25"/>
    </row>
    <row r="87">
      <c r="C87" s="24"/>
      <c r="D87" s="25"/>
    </row>
    <row r="88">
      <c r="C88" s="24"/>
      <c r="D88" s="25"/>
    </row>
    <row r="89">
      <c r="A89" s="12"/>
      <c r="B89" s="24"/>
      <c r="C89" s="13"/>
      <c r="D89" s="25"/>
    </row>
    <row r="90">
      <c r="A90" s="12"/>
      <c r="B90" s="24"/>
      <c r="C90" s="24"/>
      <c r="D90" s="25"/>
    </row>
    <row r="91">
      <c r="A91" s="12"/>
      <c r="B91" s="24"/>
      <c r="C91" s="24"/>
      <c r="D91" s="25"/>
    </row>
    <row r="92">
      <c r="A92" s="12"/>
      <c r="B92" s="24"/>
      <c r="C92" s="13"/>
      <c r="D92" s="25"/>
    </row>
    <row r="93">
      <c r="A93" s="12"/>
      <c r="B93" s="24"/>
      <c r="C93" s="13"/>
      <c r="D93" s="25"/>
    </row>
    <row r="94">
      <c r="A94" s="12"/>
      <c r="B94" s="24"/>
      <c r="C94" s="24"/>
      <c r="D94" s="25"/>
    </row>
    <row r="95">
      <c r="A95" s="12"/>
      <c r="B95" s="24"/>
      <c r="C95" s="13"/>
      <c r="D95" s="25"/>
    </row>
    <row r="96">
      <c r="A96" s="12"/>
      <c r="B96" s="24"/>
      <c r="C96" s="13"/>
      <c r="D96" s="25"/>
    </row>
    <row r="97">
      <c r="A97" s="12"/>
      <c r="B97" s="13"/>
      <c r="C97" s="13"/>
      <c r="D97" s="25"/>
    </row>
    <row r="98">
      <c r="A98" s="12"/>
      <c r="B98" s="13"/>
      <c r="C98" s="13"/>
      <c r="D98" s="25"/>
    </row>
    <row r="99">
      <c r="A99" s="12"/>
      <c r="B99" s="13"/>
      <c r="C99" s="13"/>
      <c r="D99" s="25"/>
    </row>
    <row r="100">
      <c r="A100" s="12"/>
      <c r="B100" s="13"/>
      <c r="C100" s="13"/>
    </row>
    <row r="101">
      <c r="A101" s="12"/>
      <c r="B101" s="13"/>
      <c r="C101" s="13"/>
    </row>
    <row r="102">
      <c r="A102" s="12"/>
      <c r="B102" s="13"/>
      <c r="C102" s="13"/>
    </row>
    <row r="103">
      <c r="A103" s="12"/>
      <c r="B103" s="13"/>
      <c r="C103" s="13"/>
    </row>
    <row r="104">
      <c r="A104" s="12"/>
      <c r="B104" s="13"/>
      <c r="C104" s="13"/>
    </row>
    <row r="105">
      <c r="A105" s="12"/>
      <c r="B105" s="13"/>
      <c r="C105" s="13"/>
    </row>
    <row r="106">
      <c r="A106" s="12"/>
      <c r="B106" s="13"/>
      <c r="C106" s="13"/>
    </row>
    <row r="107">
      <c r="A107" s="12"/>
      <c r="B107" s="13"/>
      <c r="C107" s="13"/>
    </row>
    <row r="108">
      <c r="A108" s="12"/>
      <c r="B108" s="13"/>
      <c r="C108" s="13"/>
    </row>
    <row r="109">
      <c r="A109" s="12"/>
      <c r="B109" s="13"/>
      <c r="C109" s="13"/>
    </row>
    <row r="110">
      <c r="A110" s="12"/>
      <c r="B110" s="13"/>
      <c r="C110" s="13"/>
    </row>
    <row r="111">
      <c r="A111" s="12"/>
      <c r="B111" s="13"/>
      <c r="C111" s="13"/>
    </row>
    <row r="112">
      <c r="A112" s="12"/>
      <c r="B112" s="13"/>
      <c r="C112" s="13"/>
    </row>
    <row r="113">
      <c r="A113" s="12"/>
      <c r="B113" s="13"/>
      <c r="C113" s="13"/>
    </row>
    <row r="114">
      <c r="A114" s="12"/>
      <c r="B114" s="13"/>
      <c r="C114" s="13"/>
    </row>
    <row r="115">
      <c r="A115" s="12"/>
      <c r="B115" s="13"/>
      <c r="C115" s="13"/>
    </row>
    <row r="116">
      <c r="A116" s="12"/>
      <c r="B116" s="13"/>
      <c r="C116" s="13"/>
    </row>
    <row r="117">
      <c r="A117" s="12"/>
      <c r="B117" s="13"/>
      <c r="C117" s="13"/>
    </row>
    <row r="118">
      <c r="A118" s="12"/>
      <c r="B118" s="13"/>
      <c r="C118" s="13"/>
    </row>
    <row r="119">
      <c r="A119" s="12"/>
      <c r="B119" s="13"/>
      <c r="C119" s="13"/>
    </row>
    <row r="120">
      <c r="A120" s="12"/>
      <c r="B120" s="13"/>
      <c r="C120" s="13"/>
    </row>
    <row r="121">
      <c r="A121" s="12"/>
      <c r="B121" s="13"/>
      <c r="C121" s="13"/>
    </row>
    <row r="122">
      <c r="A122" s="12"/>
      <c r="B122" s="13"/>
      <c r="C122" s="13"/>
    </row>
    <row r="123">
      <c r="A123" s="12"/>
      <c r="B123" s="13"/>
      <c r="C123" s="13"/>
    </row>
    <row r="124">
      <c r="A124" s="12"/>
      <c r="B124" s="13"/>
      <c r="C124" s="13"/>
    </row>
    <row r="125">
      <c r="A125" s="12"/>
      <c r="B125" s="13"/>
      <c r="C125" s="13"/>
    </row>
    <row r="126">
      <c r="A126" s="12"/>
      <c r="B126" s="13"/>
      <c r="C126" s="13"/>
    </row>
    <row r="127">
      <c r="A127" s="12"/>
      <c r="B127" s="13"/>
      <c r="C127" s="13"/>
    </row>
    <row r="128">
      <c r="A128" s="12"/>
      <c r="B128" s="13"/>
      <c r="C128" s="13"/>
    </row>
    <row r="129">
      <c r="A129" s="12"/>
      <c r="B129" s="13"/>
      <c r="C129" s="13"/>
    </row>
    <row r="130">
      <c r="A130" s="12"/>
      <c r="B130" s="13"/>
      <c r="C130" s="13"/>
    </row>
    <row r="131">
      <c r="A131" s="12"/>
      <c r="B131" s="13"/>
      <c r="C131" s="13"/>
    </row>
    <row r="132">
      <c r="A132" s="12"/>
      <c r="B132" s="13"/>
      <c r="C132" s="13"/>
    </row>
    <row r="133">
      <c r="A133" s="12"/>
      <c r="B133" s="13"/>
      <c r="C133" s="13"/>
    </row>
    <row r="134">
      <c r="A134" s="12"/>
      <c r="B134" s="13"/>
      <c r="C134" s="13"/>
    </row>
    <row r="135">
      <c r="A135" s="12"/>
      <c r="B135" s="13"/>
      <c r="C135" s="13"/>
    </row>
    <row r="136">
      <c r="A136" s="12"/>
      <c r="B136" s="13"/>
      <c r="C136" s="13"/>
    </row>
    <row r="137">
      <c r="A137" s="12"/>
      <c r="B137" s="13"/>
      <c r="C137" s="13"/>
    </row>
    <row r="138">
      <c r="A138" s="12"/>
      <c r="B138" s="13"/>
      <c r="C138" s="13"/>
    </row>
    <row r="139">
      <c r="A139" s="12"/>
      <c r="B139" s="13"/>
      <c r="C139" s="13"/>
    </row>
    <row r="140">
      <c r="A140" s="12"/>
      <c r="B140" s="13"/>
      <c r="C140" s="13"/>
    </row>
    <row r="141">
      <c r="A141" s="12"/>
      <c r="B141" s="13"/>
      <c r="C141" s="13"/>
    </row>
    <row r="142">
      <c r="A142" s="12"/>
      <c r="B142" s="13"/>
      <c r="C142" s="13"/>
    </row>
    <row r="143">
      <c r="A143" s="12"/>
      <c r="B143" s="13"/>
      <c r="C143" s="13"/>
    </row>
    <row r="144">
      <c r="A144" s="12"/>
      <c r="B144" s="13"/>
      <c r="C144" s="13"/>
    </row>
    <row r="145">
      <c r="A145" s="12"/>
      <c r="B145" s="13"/>
      <c r="C145" s="13"/>
    </row>
    <row r="146">
      <c r="A146" s="12"/>
      <c r="B146" s="13"/>
      <c r="C146" s="13"/>
    </row>
    <row r="147">
      <c r="A147" s="12"/>
      <c r="B147" s="13"/>
      <c r="C147" s="13"/>
    </row>
    <row r="148">
      <c r="A148" s="12"/>
      <c r="B148" s="13"/>
      <c r="C148" s="13"/>
    </row>
    <row r="149">
      <c r="A149" s="12"/>
      <c r="B149" s="13"/>
      <c r="C149" s="13"/>
    </row>
    <row r="150">
      <c r="A150" s="12"/>
      <c r="B150" s="13"/>
      <c r="C150" s="13"/>
    </row>
    <row r="151">
      <c r="A151" s="12"/>
      <c r="B151" s="13"/>
      <c r="C151" s="13"/>
    </row>
    <row r="152">
      <c r="A152" s="12"/>
      <c r="B152" s="13"/>
      <c r="C152" s="13"/>
    </row>
    <row r="153">
      <c r="A153" s="12"/>
      <c r="B153" s="13"/>
      <c r="C153" s="13"/>
    </row>
    <row r="154">
      <c r="A154" s="12"/>
      <c r="B154" s="13"/>
      <c r="C154" s="13"/>
    </row>
    <row r="155">
      <c r="A155" s="12"/>
      <c r="B155" s="13"/>
      <c r="C155" s="13"/>
    </row>
    <row r="156">
      <c r="A156" s="12"/>
      <c r="B156" s="13"/>
      <c r="C156" s="13"/>
    </row>
    <row r="157">
      <c r="A157" s="12"/>
      <c r="B157" s="13"/>
      <c r="C157" s="13"/>
    </row>
    <row r="158">
      <c r="A158" s="12"/>
      <c r="B158" s="13"/>
      <c r="C158" s="13"/>
    </row>
    <row r="159">
      <c r="A159" s="12"/>
      <c r="B159" s="13"/>
      <c r="C159" s="13"/>
    </row>
    <row r="160">
      <c r="A160" s="12"/>
      <c r="B160" s="13"/>
      <c r="C160" s="13"/>
    </row>
    <row r="161">
      <c r="A161" s="12"/>
      <c r="B161" s="13"/>
      <c r="C161" s="13"/>
    </row>
    <row r="162">
      <c r="A162" s="12"/>
      <c r="B162" s="13"/>
      <c r="C162" s="13"/>
    </row>
    <row r="163">
      <c r="A163" s="12"/>
      <c r="B163" s="13"/>
      <c r="C163" s="13"/>
    </row>
    <row r="164">
      <c r="A164" s="12"/>
      <c r="B164" s="13"/>
      <c r="C164" s="13"/>
    </row>
    <row r="165">
      <c r="A165" s="12"/>
      <c r="B165" s="13"/>
      <c r="C165" s="13"/>
    </row>
    <row r="166">
      <c r="A166" s="12"/>
      <c r="B166" s="13"/>
      <c r="C166" s="13"/>
    </row>
    <row r="167">
      <c r="A167" s="12"/>
      <c r="B167" s="13"/>
      <c r="C167" s="13"/>
    </row>
    <row r="168">
      <c r="A168" s="12"/>
      <c r="B168" s="13"/>
      <c r="C168" s="13"/>
    </row>
    <row r="169">
      <c r="A169" s="12"/>
      <c r="B169" s="13"/>
      <c r="C169" s="13"/>
    </row>
    <row r="170">
      <c r="A170" s="12"/>
      <c r="B170" s="13"/>
      <c r="C170" s="13"/>
    </row>
    <row r="171">
      <c r="A171" s="12"/>
      <c r="B171" s="13"/>
      <c r="C171" s="13"/>
    </row>
    <row r="172">
      <c r="A172" s="12"/>
      <c r="B172" s="13"/>
      <c r="C172" s="13"/>
    </row>
    <row r="173">
      <c r="A173" s="12"/>
      <c r="B173" s="13"/>
      <c r="C173" s="13"/>
    </row>
    <row r="174">
      <c r="A174" s="12"/>
      <c r="B174" s="13"/>
      <c r="C174" s="13"/>
    </row>
    <row r="175">
      <c r="A175" s="12"/>
      <c r="B175" s="13"/>
      <c r="C175" s="13"/>
    </row>
    <row r="176">
      <c r="A176" s="12"/>
      <c r="B176" s="13"/>
      <c r="C176" s="13"/>
    </row>
    <row r="177">
      <c r="A177" s="12"/>
      <c r="B177" s="13"/>
      <c r="C177" s="13"/>
    </row>
    <row r="178">
      <c r="A178" s="12"/>
      <c r="B178" s="13"/>
      <c r="C178" s="13"/>
    </row>
    <row r="179">
      <c r="A179" s="12"/>
      <c r="B179" s="13"/>
      <c r="C179" s="13"/>
    </row>
    <row r="180">
      <c r="A180" s="12"/>
      <c r="B180" s="13"/>
      <c r="C180" s="13"/>
    </row>
    <row r="181">
      <c r="A181" s="12"/>
      <c r="B181" s="13"/>
      <c r="C181" s="13"/>
    </row>
    <row r="182">
      <c r="A182" s="12"/>
      <c r="B182" s="13"/>
      <c r="C182" s="13"/>
    </row>
    <row r="183">
      <c r="A183" s="12"/>
      <c r="B183" s="13"/>
      <c r="C183" s="13"/>
    </row>
    <row r="184">
      <c r="A184" s="12"/>
      <c r="B184" s="13"/>
      <c r="C184" s="13"/>
    </row>
    <row r="185">
      <c r="A185" s="12"/>
      <c r="B185" s="13"/>
      <c r="C185" s="13"/>
    </row>
    <row r="186">
      <c r="A186" s="12"/>
      <c r="B186" s="13"/>
      <c r="C186" s="13"/>
    </row>
    <row r="187">
      <c r="A187" s="12"/>
      <c r="B187" s="13"/>
      <c r="C187" s="13"/>
    </row>
    <row r="188">
      <c r="A188" s="12"/>
      <c r="B188" s="13"/>
      <c r="C188" s="13"/>
    </row>
    <row r="189">
      <c r="A189" s="12"/>
      <c r="B189" s="13"/>
      <c r="C189" s="13"/>
    </row>
    <row r="190">
      <c r="A190" s="12"/>
      <c r="B190" s="13"/>
      <c r="C190" s="13"/>
    </row>
    <row r="191">
      <c r="A191" s="12"/>
      <c r="B191" s="13"/>
      <c r="C191" s="13"/>
    </row>
    <row r="192">
      <c r="A192" s="12"/>
      <c r="B192" s="13"/>
      <c r="C192" s="13"/>
    </row>
    <row r="193">
      <c r="A193" s="12"/>
      <c r="B193" s="13"/>
      <c r="C193" s="13"/>
    </row>
    <row r="194">
      <c r="A194" s="12"/>
      <c r="B194" s="13"/>
      <c r="C194" s="13"/>
    </row>
    <row r="195">
      <c r="A195" s="12"/>
      <c r="B195" s="13"/>
      <c r="C195" s="13"/>
    </row>
    <row r="196">
      <c r="A196" s="12"/>
      <c r="B196" s="13"/>
      <c r="C196" s="13"/>
    </row>
    <row r="197">
      <c r="A197" s="12"/>
      <c r="B197" s="13"/>
      <c r="C197" s="13"/>
    </row>
    <row r="198">
      <c r="A198" s="12"/>
      <c r="B198" s="13"/>
      <c r="C198" s="13"/>
    </row>
    <row r="199">
      <c r="A199" s="12"/>
      <c r="B199" s="13"/>
      <c r="C199" s="13"/>
    </row>
    <row r="200">
      <c r="A200" s="12"/>
      <c r="B200" s="13"/>
      <c r="C200" s="13"/>
    </row>
    <row r="201">
      <c r="A201" s="12"/>
      <c r="B201" s="13"/>
      <c r="C201" s="13"/>
    </row>
    <row r="202">
      <c r="A202" s="12"/>
      <c r="B202" s="13"/>
      <c r="C202" s="13"/>
    </row>
    <row r="203">
      <c r="A203" s="12"/>
      <c r="B203" s="13"/>
      <c r="C203" s="13"/>
    </row>
    <row r="204">
      <c r="A204" s="12"/>
      <c r="B204" s="13"/>
      <c r="C204" s="13"/>
    </row>
    <row r="205">
      <c r="A205" s="12"/>
      <c r="B205" s="13"/>
      <c r="C205" s="13"/>
    </row>
    <row r="206">
      <c r="A206" s="12"/>
      <c r="B206" s="13"/>
      <c r="C206" s="13"/>
    </row>
    <row r="207">
      <c r="A207" s="12"/>
      <c r="B207" s="13"/>
      <c r="C207" s="13"/>
    </row>
    <row r="208">
      <c r="A208" s="12"/>
      <c r="B208" s="13"/>
      <c r="C208" s="13"/>
    </row>
    <row r="209">
      <c r="A209" s="12"/>
      <c r="B209" s="13"/>
      <c r="C209" s="13"/>
    </row>
    <row r="210">
      <c r="A210" s="12"/>
      <c r="B210" s="13"/>
      <c r="C210" s="13"/>
    </row>
    <row r="211">
      <c r="A211" s="12"/>
      <c r="B211" s="13"/>
      <c r="C211" s="13"/>
    </row>
    <row r="212">
      <c r="A212" s="12"/>
      <c r="B212" s="13"/>
      <c r="C212" s="13"/>
    </row>
    <row r="213">
      <c r="A213" s="12"/>
      <c r="B213" s="13"/>
      <c r="C213" s="13"/>
    </row>
    <row r="214">
      <c r="A214" s="12"/>
      <c r="B214" s="13"/>
      <c r="C214" s="13"/>
    </row>
    <row r="215">
      <c r="A215" s="12"/>
      <c r="B215" s="13"/>
      <c r="C215" s="13"/>
    </row>
    <row r="216">
      <c r="A216" s="12"/>
      <c r="B216" s="13"/>
      <c r="C216" s="13"/>
    </row>
    <row r="217">
      <c r="A217" s="12"/>
      <c r="B217" s="13"/>
      <c r="C217" s="13"/>
    </row>
    <row r="218">
      <c r="A218" s="12"/>
      <c r="B218" s="13"/>
      <c r="C218" s="13"/>
    </row>
    <row r="219">
      <c r="A219" s="12"/>
      <c r="B219" s="13"/>
      <c r="C219" s="13"/>
    </row>
    <row r="220">
      <c r="A220" s="12"/>
      <c r="B220" s="13"/>
      <c r="C220" s="13"/>
    </row>
    <row r="221">
      <c r="A221" s="12"/>
      <c r="B221" s="13"/>
      <c r="C221" s="13"/>
    </row>
    <row r="222">
      <c r="A222" s="12"/>
      <c r="B222" s="13"/>
      <c r="C222" s="13"/>
    </row>
    <row r="223">
      <c r="A223" s="12"/>
      <c r="B223" s="13"/>
      <c r="C223" s="13"/>
    </row>
    <row r="224">
      <c r="A224" s="12"/>
      <c r="B224" s="13"/>
      <c r="C224" s="13"/>
    </row>
    <row r="225">
      <c r="A225" s="12"/>
      <c r="B225" s="13"/>
      <c r="C225" s="13"/>
    </row>
    <row r="226">
      <c r="A226" s="12"/>
      <c r="B226" s="13"/>
      <c r="C226" s="13"/>
    </row>
    <row r="227">
      <c r="A227" s="12"/>
      <c r="B227" s="13"/>
      <c r="C227" s="13"/>
    </row>
    <row r="228">
      <c r="A228" s="12"/>
      <c r="B228" s="13"/>
      <c r="C228" s="13"/>
    </row>
    <row r="229">
      <c r="A229" s="12"/>
      <c r="B229" s="13"/>
      <c r="C229" s="13"/>
    </row>
    <row r="230">
      <c r="A230" s="12"/>
      <c r="B230" s="13"/>
      <c r="C230" s="13"/>
    </row>
    <row r="231">
      <c r="A231" s="12"/>
      <c r="B231" s="13"/>
      <c r="C231" s="13"/>
    </row>
    <row r="232">
      <c r="A232" s="12"/>
      <c r="B232" s="13"/>
      <c r="C232" s="13"/>
    </row>
    <row r="233">
      <c r="A233" s="12"/>
      <c r="B233" s="13"/>
      <c r="C233" s="13"/>
    </row>
    <row r="234">
      <c r="A234" s="12"/>
      <c r="B234" s="13"/>
      <c r="C234" s="13"/>
    </row>
    <row r="235">
      <c r="A235" s="12"/>
      <c r="B235" s="13"/>
      <c r="C235" s="13"/>
    </row>
    <row r="236">
      <c r="A236" s="12"/>
      <c r="B236" s="13"/>
      <c r="C236" s="13"/>
    </row>
    <row r="237">
      <c r="A237" s="12"/>
      <c r="B237" s="13"/>
      <c r="C237" s="13"/>
    </row>
    <row r="238">
      <c r="A238" s="12"/>
      <c r="B238" s="13"/>
      <c r="C238" s="13"/>
    </row>
    <row r="239">
      <c r="A239" s="12"/>
      <c r="B239" s="13"/>
      <c r="C239" s="13"/>
    </row>
    <row r="240">
      <c r="A240" s="12"/>
      <c r="B240" s="13"/>
      <c r="C240" s="13"/>
    </row>
    <row r="241">
      <c r="A241" s="12"/>
      <c r="B241" s="13"/>
      <c r="C241" s="13"/>
    </row>
    <row r="242">
      <c r="A242" s="12"/>
      <c r="B242" s="13"/>
      <c r="C242" s="13"/>
    </row>
    <row r="243">
      <c r="A243" s="12"/>
      <c r="B243" s="13"/>
      <c r="C243" s="13"/>
    </row>
    <row r="244">
      <c r="A244" s="12"/>
      <c r="B244" s="13"/>
      <c r="C244" s="13"/>
    </row>
    <row r="245">
      <c r="A245" s="12"/>
      <c r="B245" s="13"/>
      <c r="C245" s="13"/>
    </row>
    <row r="246">
      <c r="A246" s="12"/>
      <c r="B246" s="13"/>
      <c r="C246" s="13"/>
    </row>
    <row r="247">
      <c r="A247" s="12"/>
      <c r="B247" s="13"/>
      <c r="C247" s="13"/>
    </row>
    <row r="248">
      <c r="A248" s="12"/>
      <c r="B248" s="13"/>
      <c r="C248" s="13"/>
    </row>
    <row r="249">
      <c r="A249" s="12"/>
      <c r="B249" s="13"/>
      <c r="C249" s="13"/>
    </row>
    <row r="250">
      <c r="A250" s="12"/>
      <c r="B250" s="13"/>
      <c r="C250" s="13"/>
    </row>
    <row r="251">
      <c r="A251" s="12"/>
      <c r="B251" s="13"/>
      <c r="C251" s="13"/>
    </row>
    <row r="252">
      <c r="A252" s="12"/>
      <c r="B252" s="13"/>
      <c r="C252" s="13"/>
    </row>
    <row r="253">
      <c r="A253" s="12"/>
      <c r="B253" s="13"/>
      <c r="C253" s="13"/>
    </row>
    <row r="254">
      <c r="A254" s="12"/>
      <c r="B254" s="13"/>
      <c r="C254" s="13"/>
    </row>
    <row r="255">
      <c r="A255" s="12"/>
      <c r="B255" s="13"/>
      <c r="C255" s="13"/>
    </row>
    <row r="256">
      <c r="A256" s="12"/>
      <c r="B256" s="13"/>
      <c r="C256" s="13"/>
    </row>
    <row r="257">
      <c r="A257" s="12"/>
      <c r="B257" s="13"/>
      <c r="C257" s="13"/>
    </row>
    <row r="258">
      <c r="A258" s="12"/>
      <c r="B258" s="13"/>
      <c r="C258" s="13"/>
    </row>
    <row r="259">
      <c r="A259" s="12"/>
      <c r="B259" s="13"/>
      <c r="C259" s="13"/>
    </row>
    <row r="260">
      <c r="A260" s="12"/>
      <c r="B260" s="13"/>
      <c r="C260" s="13"/>
    </row>
    <row r="261">
      <c r="A261" s="12"/>
      <c r="B261" s="13"/>
      <c r="C261" s="13"/>
    </row>
    <row r="262">
      <c r="A262" s="12"/>
      <c r="B262" s="13"/>
      <c r="C262" s="13"/>
    </row>
    <row r="263">
      <c r="A263" s="12"/>
      <c r="B263" s="13"/>
      <c r="C263" s="13"/>
    </row>
    <row r="264">
      <c r="A264" s="12"/>
      <c r="B264" s="13"/>
      <c r="C264" s="13"/>
    </row>
    <row r="265">
      <c r="A265" s="12"/>
      <c r="B265" s="13"/>
      <c r="C265" s="13"/>
    </row>
    <row r="266">
      <c r="A266" s="12"/>
      <c r="B266" s="13"/>
      <c r="C266" s="13"/>
    </row>
    <row r="267">
      <c r="A267" s="12"/>
      <c r="B267" s="13"/>
      <c r="C267" s="13"/>
    </row>
    <row r="268">
      <c r="A268" s="12"/>
      <c r="B268" s="13"/>
      <c r="C268" s="13"/>
    </row>
    <row r="269">
      <c r="A269" s="12"/>
      <c r="B269" s="13"/>
      <c r="C269" s="13"/>
    </row>
    <row r="270">
      <c r="A270" s="12"/>
      <c r="B270" s="13"/>
      <c r="C270" s="13"/>
    </row>
    <row r="271">
      <c r="A271" s="12"/>
      <c r="B271" s="13"/>
      <c r="C271" s="13"/>
    </row>
    <row r="272">
      <c r="A272" s="12"/>
      <c r="B272" s="13"/>
      <c r="C272" s="13"/>
    </row>
    <row r="273">
      <c r="A273" s="12"/>
      <c r="B273" s="13"/>
      <c r="C273" s="13"/>
    </row>
    <row r="274">
      <c r="A274" s="12"/>
      <c r="B274" s="13"/>
      <c r="C274" s="13"/>
    </row>
    <row r="275">
      <c r="A275" s="12"/>
      <c r="B275" s="13"/>
      <c r="C275" s="13"/>
    </row>
    <row r="276">
      <c r="A276" s="12"/>
      <c r="B276" s="13"/>
      <c r="C276" s="13"/>
    </row>
    <row r="277">
      <c r="A277" s="12"/>
      <c r="B277" s="13"/>
      <c r="C277" s="13"/>
    </row>
    <row r="278">
      <c r="A278" s="12"/>
      <c r="B278" s="13"/>
      <c r="C278" s="13"/>
    </row>
    <row r="279">
      <c r="A279" s="12"/>
      <c r="B279" s="13"/>
      <c r="C279" s="13"/>
    </row>
    <row r="280">
      <c r="A280" s="12"/>
      <c r="B280" s="13"/>
      <c r="C280" s="13"/>
    </row>
    <row r="281">
      <c r="A281" s="12"/>
      <c r="B281" s="13"/>
      <c r="C281" s="13"/>
    </row>
    <row r="282">
      <c r="A282" s="12"/>
      <c r="B282" s="13"/>
      <c r="C282" s="13"/>
    </row>
    <row r="283">
      <c r="A283" s="12"/>
      <c r="B283" s="13"/>
      <c r="C283" s="13"/>
    </row>
    <row r="284">
      <c r="A284" s="12"/>
      <c r="B284" s="13"/>
      <c r="C284" s="13"/>
    </row>
    <row r="285">
      <c r="A285" s="12"/>
      <c r="B285" s="13"/>
      <c r="C285" s="13"/>
    </row>
    <row r="286">
      <c r="A286" s="12"/>
      <c r="B286" s="13"/>
      <c r="C286" s="13"/>
    </row>
    <row r="287">
      <c r="A287" s="12"/>
      <c r="B287" s="13"/>
      <c r="C287" s="13"/>
    </row>
    <row r="288">
      <c r="A288" s="12"/>
      <c r="B288" s="13"/>
      <c r="C288" s="13"/>
    </row>
    <row r="289">
      <c r="A289" s="12"/>
      <c r="B289" s="13"/>
      <c r="C289" s="13"/>
    </row>
    <row r="290">
      <c r="A290" s="12"/>
      <c r="B290" s="13"/>
      <c r="C290" s="13"/>
    </row>
    <row r="291">
      <c r="A291" s="12"/>
      <c r="B291" s="13"/>
      <c r="C291" s="13"/>
    </row>
    <row r="292">
      <c r="A292" s="12"/>
      <c r="B292" s="13"/>
      <c r="C292" s="13"/>
    </row>
    <row r="293">
      <c r="A293" s="12"/>
      <c r="B293" s="13"/>
      <c r="C293" s="13"/>
    </row>
    <row r="294">
      <c r="A294" s="12"/>
      <c r="B294" s="13"/>
      <c r="C294" s="13"/>
    </row>
    <row r="295">
      <c r="A295" s="12"/>
      <c r="B295" s="13"/>
      <c r="C295" s="13"/>
    </row>
    <row r="296">
      <c r="A296" s="12"/>
      <c r="B296" s="13"/>
      <c r="C296" s="13"/>
    </row>
    <row r="297">
      <c r="A297" s="12"/>
      <c r="B297" s="13"/>
      <c r="C297" s="13"/>
    </row>
    <row r="298">
      <c r="A298" s="12"/>
      <c r="B298" s="13"/>
      <c r="C298" s="13"/>
    </row>
    <row r="299">
      <c r="A299" s="12"/>
      <c r="B299" s="13"/>
      <c r="C299" s="13"/>
    </row>
    <row r="300">
      <c r="A300" s="12"/>
      <c r="B300" s="13"/>
      <c r="C300" s="13"/>
    </row>
    <row r="301">
      <c r="A301" s="12"/>
      <c r="B301" s="13"/>
      <c r="C301" s="13"/>
    </row>
    <row r="302">
      <c r="A302" s="12"/>
      <c r="B302" s="13"/>
      <c r="C302" s="13"/>
    </row>
    <row r="303">
      <c r="A303" s="12"/>
      <c r="B303" s="13"/>
      <c r="C303" s="13"/>
    </row>
    <row r="304">
      <c r="A304" s="12"/>
      <c r="B304" s="13"/>
      <c r="C304" s="13"/>
    </row>
    <row r="305">
      <c r="A305" s="12"/>
      <c r="B305" s="13"/>
      <c r="C305" s="13"/>
    </row>
    <row r="306">
      <c r="A306" s="12"/>
      <c r="B306" s="13"/>
      <c r="C306" s="13"/>
    </row>
    <row r="307">
      <c r="A307" s="12"/>
      <c r="B307" s="13"/>
      <c r="C307" s="13"/>
    </row>
    <row r="308">
      <c r="A308" s="12"/>
      <c r="B308" s="13"/>
      <c r="C308" s="13"/>
    </row>
    <row r="309">
      <c r="A309" s="12"/>
      <c r="B309" s="13"/>
      <c r="C309" s="13"/>
    </row>
    <row r="310">
      <c r="A310" s="12"/>
      <c r="B310" s="13"/>
      <c r="C310" s="13"/>
    </row>
    <row r="311">
      <c r="A311" s="12"/>
      <c r="B311" s="13"/>
      <c r="C311" s="13"/>
    </row>
    <row r="312">
      <c r="A312" s="12"/>
      <c r="B312" s="13"/>
      <c r="C312" s="13"/>
    </row>
    <row r="313">
      <c r="A313" s="12"/>
      <c r="B313" s="13"/>
      <c r="C313" s="13"/>
    </row>
    <row r="314">
      <c r="A314" s="12"/>
      <c r="B314" s="13"/>
      <c r="C314" s="13"/>
    </row>
    <row r="315">
      <c r="A315" s="12"/>
      <c r="B315" s="13"/>
      <c r="C315" s="13"/>
    </row>
    <row r="316">
      <c r="A316" s="12"/>
      <c r="B316" s="13"/>
      <c r="C316" s="13"/>
    </row>
    <row r="317">
      <c r="A317" s="12"/>
      <c r="B317" s="13"/>
      <c r="C317" s="13"/>
    </row>
    <row r="318">
      <c r="A318" s="12"/>
      <c r="B318" s="13"/>
      <c r="C318" s="13"/>
    </row>
    <row r="319">
      <c r="A319" s="12"/>
      <c r="B319" s="13"/>
      <c r="C319" s="13"/>
    </row>
    <row r="320">
      <c r="A320" s="12"/>
      <c r="B320" s="13"/>
      <c r="C320" s="13"/>
    </row>
    <row r="321">
      <c r="A321" s="12"/>
      <c r="B321" s="13"/>
      <c r="C321" s="13"/>
    </row>
    <row r="322">
      <c r="A322" s="12"/>
      <c r="B322" s="13"/>
      <c r="C322" s="13"/>
    </row>
    <row r="323">
      <c r="A323" s="12"/>
      <c r="B323" s="13"/>
      <c r="C323" s="13"/>
    </row>
    <row r="324">
      <c r="A324" s="12"/>
      <c r="B324" s="13"/>
      <c r="C324" s="13"/>
    </row>
    <row r="325">
      <c r="A325" s="12"/>
      <c r="B325" s="13"/>
      <c r="C325" s="13"/>
    </row>
    <row r="326">
      <c r="A326" s="12"/>
      <c r="B326" s="13"/>
      <c r="C326" s="13"/>
    </row>
    <row r="327">
      <c r="A327" s="12"/>
      <c r="B327" s="13"/>
      <c r="C327" s="13"/>
    </row>
    <row r="328">
      <c r="A328" s="12"/>
      <c r="B328" s="13"/>
      <c r="C328" s="13"/>
    </row>
    <row r="329">
      <c r="A329" s="12"/>
      <c r="B329" s="13"/>
      <c r="C329" s="13"/>
    </row>
    <row r="330">
      <c r="A330" s="12"/>
      <c r="B330" s="13"/>
      <c r="C330" s="13"/>
    </row>
    <row r="331">
      <c r="A331" s="12"/>
      <c r="B331" s="13"/>
      <c r="C331" s="13"/>
    </row>
    <row r="332">
      <c r="A332" s="12"/>
      <c r="B332" s="13"/>
      <c r="C332" s="13"/>
    </row>
    <row r="333">
      <c r="A333" s="12"/>
      <c r="B333" s="13"/>
      <c r="C333" s="13"/>
    </row>
    <row r="334">
      <c r="A334" s="12"/>
      <c r="B334" s="13"/>
      <c r="C334" s="13"/>
    </row>
    <row r="335">
      <c r="A335" s="12"/>
      <c r="B335" s="13"/>
      <c r="C335" s="13"/>
    </row>
    <row r="336">
      <c r="A336" s="12"/>
      <c r="B336" s="13"/>
      <c r="C336" s="13"/>
    </row>
    <row r="337">
      <c r="A337" s="12"/>
      <c r="B337" s="13"/>
      <c r="C337" s="13"/>
    </row>
    <row r="338">
      <c r="A338" s="12"/>
      <c r="B338" s="13"/>
      <c r="C338" s="13"/>
    </row>
    <row r="339">
      <c r="A339" s="12"/>
      <c r="B339" s="13"/>
      <c r="C339" s="13"/>
    </row>
    <row r="340">
      <c r="A340" s="12"/>
      <c r="B340" s="13"/>
      <c r="C340" s="13"/>
    </row>
    <row r="341">
      <c r="A341" s="12"/>
      <c r="B341" s="13"/>
      <c r="C341" s="13"/>
    </row>
    <row r="342">
      <c r="A342" s="12"/>
      <c r="B342" s="13"/>
      <c r="C342" s="13"/>
    </row>
    <row r="343">
      <c r="A343" s="12"/>
      <c r="B343" s="13"/>
      <c r="C343" s="13"/>
    </row>
    <row r="344">
      <c r="A344" s="12"/>
      <c r="B344" s="13"/>
      <c r="C344" s="13"/>
    </row>
    <row r="345">
      <c r="A345" s="12"/>
      <c r="B345" s="13"/>
      <c r="C345" s="13"/>
    </row>
    <row r="346">
      <c r="A346" s="12"/>
      <c r="B346" s="13"/>
      <c r="C346" s="13"/>
    </row>
    <row r="347">
      <c r="A347" s="12"/>
      <c r="B347" s="13"/>
      <c r="C347" s="13"/>
    </row>
    <row r="348">
      <c r="A348" s="12"/>
      <c r="B348" s="13"/>
      <c r="C348" s="13"/>
    </row>
    <row r="349">
      <c r="A349" s="12"/>
      <c r="B349" s="13"/>
      <c r="C349" s="13"/>
    </row>
    <row r="350">
      <c r="A350" s="12"/>
      <c r="B350" s="13"/>
      <c r="C350" s="13"/>
    </row>
    <row r="351">
      <c r="A351" s="12"/>
      <c r="B351" s="13"/>
      <c r="C351" s="13"/>
    </row>
    <row r="352">
      <c r="A352" s="12"/>
      <c r="B352" s="13"/>
      <c r="C352" s="13"/>
    </row>
    <row r="353">
      <c r="A353" s="12"/>
      <c r="B353" s="13"/>
      <c r="C353" s="13"/>
    </row>
    <row r="354">
      <c r="A354" s="12"/>
      <c r="B354" s="13"/>
      <c r="C354" s="13"/>
    </row>
    <row r="355">
      <c r="A355" s="12"/>
      <c r="B355" s="13"/>
      <c r="C355" s="13"/>
    </row>
    <row r="356">
      <c r="A356" s="12"/>
      <c r="B356" s="13"/>
      <c r="C356" s="13"/>
    </row>
    <row r="357">
      <c r="A357" s="12"/>
      <c r="B357" s="13"/>
      <c r="C357" s="13"/>
    </row>
    <row r="358">
      <c r="A358" s="12"/>
      <c r="B358" s="13"/>
      <c r="C358" s="13"/>
    </row>
    <row r="359">
      <c r="A359" s="12"/>
      <c r="B359" s="13"/>
      <c r="C359" s="13"/>
    </row>
    <row r="360">
      <c r="A360" s="12"/>
      <c r="B360" s="13"/>
      <c r="C360" s="13"/>
    </row>
    <row r="361">
      <c r="A361" s="12"/>
      <c r="B361" s="13"/>
      <c r="C361" s="13"/>
    </row>
    <row r="362">
      <c r="A362" s="12"/>
      <c r="B362" s="13"/>
      <c r="C362" s="13"/>
    </row>
    <row r="363">
      <c r="A363" s="12"/>
      <c r="B363" s="13"/>
      <c r="C363" s="13"/>
    </row>
    <row r="364">
      <c r="A364" s="12"/>
      <c r="B364" s="13"/>
      <c r="C364" s="13"/>
    </row>
    <row r="365">
      <c r="A365" s="12"/>
      <c r="B365" s="13"/>
      <c r="C365" s="13"/>
    </row>
    <row r="366">
      <c r="A366" s="12"/>
      <c r="B366" s="13"/>
      <c r="C366" s="13"/>
    </row>
    <row r="367">
      <c r="A367" s="12"/>
      <c r="B367" s="13"/>
      <c r="C367" s="13"/>
    </row>
    <row r="368">
      <c r="A368" s="12"/>
      <c r="B368" s="13"/>
      <c r="C368" s="13"/>
    </row>
    <row r="369">
      <c r="A369" s="12"/>
      <c r="B369" s="13"/>
      <c r="C369" s="13"/>
    </row>
    <row r="370">
      <c r="A370" s="12"/>
      <c r="B370" s="13"/>
      <c r="C370" s="13"/>
    </row>
    <row r="371">
      <c r="A371" s="12"/>
      <c r="B371" s="13"/>
      <c r="C371" s="13"/>
    </row>
    <row r="372">
      <c r="A372" s="12"/>
      <c r="B372" s="13"/>
      <c r="C372" s="13"/>
    </row>
    <row r="373">
      <c r="A373" s="12"/>
      <c r="B373" s="13"/>
      <c r="C373" s="13"/>
    </row>
    <row r="374">
      <c r="A374" s="12"/>
      <c r="B374" s="13"/>
      <c r="C374" s="13"/>
    </row>
    <row r="375">
      <c r="A375" s="12"/>
      <c r="B375" s="13"/>
      <c r="C375" s="13"/>
    </row>
    <row r="376">
      <c r="A376" s="12"/>
      <c r="B376" s="13"/>
      <c r="C376" s="13"/>
    </row>
    <row r="377">
      <c r="A377" s="12"/>
      <c r="B377" s="13"/>
      <c r="C377" s="13"/>
    </row>
    <row r="378">
      <c r="A378" s="12"/>
      <c r="B378" s="13"/>
      <c r="C378" s="13"/>
    </row>
    <row r="379">
      <c r="A379" s="12"/>
      <c r="B379" s="13"/>
      <c r="C379" s="13"/>
    </row>
    <row r="380">
      <c r="A380" s="12"/>
      <c r="B380" s="13"/>
      <c r="C380" s="13"/>
    </row>
    <row r="381">
      <c r="A381" s="12"/>
      <c r="B381" s="13"/>
      <c r="C381" s="13"/>
    </row>
    <row r="382">
      <c r="A382" s="12"/>
      <c r="B382" s="13"/>
      <c r="C382" s="13"/>
    </row>
    <row r="383">
      <c r="A383" s="12"/>
      <c r="B383" s="13"/>
      <c r="C383" s="13"/>
    </row>
    <row r="384">
      <c r="A384" s="12"/>
      <c r="B384" s="13"/>
      <c r="C384" s="13"/>
    </row>
    <row r="385">
      <c r="A385" s="12"/>
      <c r="B385" s="13"/>
      <c r="C385" s="13"/>
    </row>
    <row r="386">
      <c r="A386" s="12"/>
      <c r="B386" s="13"/>
      <c r="C386" s="13"/>
    </row>
    <row r="387">
      <c r="A387" s="12"/>
      <c r="B387" s="13"/>
      <c r="C387" s="13"/>
    </row>
    <row r="388">
      <c r="A388" s="12"/>
      <c r="B388" s="13"/>
      <c r="C388" s="13"/>
    </row>
    <row r="389">
      <c r="A389" s="12"/>
      <c r="B389" s="13"/>
      <c r="C389" s="13"/>
    </row>
    <row r="390">
      <c r="A390" s="12"/>
      <c r="B390" s="13"/>
      <c r="C390" s="13"/>
    </row>
    <row r="391">
      <c r="A391" s="12"/>
      <c r="B391" s="13"/>
      <c r="C391" s="13"/>
    </row>
    <row r="392">
      <c r="A392" s="12"/>
      <c r="B392" s="13"/>
      <c r="C392" s="13"/>
    </row>
    <row r="393">
      <c r="A393" s="12"/>
      <c r="B393" s="13"/>
      <c r="C393" s="13"/>
    </row>
    <row r="394">
      <c r="A394" s="12"/>
      <c r="B394" s="13"/>
      <c r="C394" s="13"/>
    </row>
    <row r="395">
      <c r="A395" s="12"/>
      <c r="B395" s="13"/>
      <c r="C395" s="13"/>
    </row>
    <row r="396">
      <c r="A396" s="12"/>
      <c r="B396" s="13"/>
      <c r="C396" s="13"/>
    </row>
    <row r="397">
      <c r="A397" s="12"/>
      <c r="B397" s="13"/>
      <c r="C397" s="13"/>
    </row>
    <row r="398">
      <c r="A398" s="12"/>
      <c r="B398" s="13"/>
      <c r="C398" s="13"/>
    </row>
    <row r="399">
      <c r="A399" s="12"/>
      <c r="B399" s="13"/>
      <c r="C399" s="13"/>
    </row>
    <row r="400">
      <c r="A400" s="12"/>
      <c r="B400" s="13"/>
      <c r="C400" s="13"/>
    </row>
    <row r="401">
      <c r="A401" s="12"/>
      <c r="B401" s="13"/>
      <c r="C401" s="13"/>
    </row>
    <row r="402">
      <c r="A402" s="12"/>
      <c r="B402" s="13"/>
      <c r="C402" s="13"/>
    </row>
    <row r="403">
      <c r="A403" s="12"/>
      <c r="B403" s="13"/>
      <c r="C403" s="13"/>
    </row>
    <row r="404">
      <c r="A404" s="12"/>
      <c r="B404" s="13"/>
      <c r="C404" s="13"/>
    </row>
    <row r="405">
      <c r="A405" s="12"/>
      <c r="B405" s="13"/>
      <c r="C405" s="13"/>
    </row>
    <row r="406">
      <c r="A406" s="12"/>
      <c r="B406" s="13"/>
      <c r="C406" s="13"/>
    </row>
    <row r="407">
      <c r="A407" s="12"/>
      <c r="B407" s="13"/>
      <c r="C407" s="13"/>
    </row>
    <row r="408">
      <c r="A408" s="12"/>
      <c r="B408" s="13"/>
      <c r="C408" s="13"/>
    </row>
    <row r="409">
      <c r="A409" s="12"/>
      <c r="B409" s="13"/>
      <c r="C409" s="13"/>
    </row>
    <row r="410">
      <c r="A410" s="12"/>
      <c r="B410" s="13"/>
      <c r="C410" s="13"/>
    </row>
    <row r="411">
      <c r="A411" s="12"/>
      <c r="B411" s="13"/>
      <c r="C411" s="13"/>
    </row>
    <row r="412">
      <c r="A412" s="12"/>
      <c r="B412" s="13"/>
      <c r="C412" s="13"/>
    </row>
    <row r="413">
      <c r="A413" s="12"/>
      <c r="B413" s="13"/>
      <c r="C413" s="13"/>
    </row>
    <row r="414">
      <c r="A414" s="12"/>
      <c r="B414" s="13"/>
      <c r="C414" s="13"/>
    </row>
    <row r="415">
      <c r="A415" s="12"/>
      <c r="B415" s="13"/>
      <c r="C415" s="13"/>
    </row>
    <row r="416">
      <c r="A416" s="12"/>
      <c r="B416" s="13"/>
      <c r="C416" s="13"/>
    </row>
    <row r="417">
      <c r="A417" s="12"/>
      <c r="B417" s="13"/>
      <c r="C417" s="13"/>
    </row>
    <row r="418">
      <c r="A418" s="12"/>
      <c r="B418" s="13"/>
      <c r="C418" s="13"/>
    </row>
    <row r="419">
      <c r="A419" s="12"/>
      <c r="B419" s="13"/>
      <c r="C419" s="13"/>
    </row>
    <row r="420">
      <c r="A420" s="12"/>
      <c r="B420" s="13"/>
      <c r="C420" s="13"/>
    </row>
    <row r="421">
      <c r="A421" s="12"/>
      <c r="B421" s="13"/>
      <c r="C421" s="13"/>
    </row>
    <row r="422">
      <c r="A422" s="12"/>
      <c r="B422" s="13"/>
      <c r="C422" s="13"/>
    </row>
    <row r="423">
      <c r="A423" s="12"/>
      <c r="B423" s="13"/>
      <c r="C423" s="13"/>
    </row>
    <row r="424">
      <c r="A424" s="12"/>
      <c r="B424" s="13"/>
      <c r="C424" s="13"/>
    </row>
    <row r="425">
      <c r="A425" s="12"/>
      <c r="B425" s="13"/>
      <c r="C425" s="13"/>
    </row>
    <row r="426">
      <c r="A426" s="12"/>
      <c r="B426" s="13"/>
      <c r="C426" s="13"/>
    </row>
    <row r="427">
      <c r="A427" s="12"/>
      <c r="B427" s="13"/>
      <c r="C427" s="13"/>
    </row>
    <row r="428">
      <c r="A428" s="12"/>
      <c r="B428" s="13"/>
      <c r="C428" s="13"/>
    </row>
    <row r="429">
      <c r="A429" s="12"/>
      <c r="B429" s="13"/>
      <c r="C429" s="13"/>
    </row>
    <row r="430">
      <c r="A430" s="12"/>
      <c r="B430" s="13"/>
      <c r="C430" s="13"/>
    </row>
    <row r="431">
      <c r="A431" s="12"/>
      <c r="B431" s="13"/>
      <c r="C431" s="13"/>
    </row>
    <row r="432">
      <c r="A432" s="12"/>
      <c r="B432" s="13"/>
      <c r="C432" s="13"/>
    </row>
    <row r="433">
      <c r="A433" s="12"/>
      <c r="B433" s="13"/>
      <c r="C433" s="13"/>
    </row>
    <row r="434">
      <c r="A434" s="12"/>
      <c r="B434" s="13"/>
      <c r="C434" s="13"/>
    </row>
    <row r="435">
      <c r="A435" s="12"/>
      <c r="B435" s="13"/>
      <c r="C435" s="13"/>
    </row>
    <row r="436">
      <c r="A436" s="12"/>
      <c r="B436" s="13"/>
      <c r="C436" s="13"/>
    </row>
    <row r="437">
      <c r="A437" s="12"/>
      <c r="B437" s="13"/>
      <c r="C437" s="13"/>
    </row>
    <row r="438">
      <c r="A438" s="12"/>
      <c r="B438" s="13"/>
      <c r="C438" s="13"/>
    </row>
    <row r="439">
      <c r="A439" s="12"/>
      <c r="B439" s="13"/>
      <c r="C439" s="13"/>
    </row>
    <row r="440">
      <c r="A440" s="12"/>
      <c r="B440" s="13"/>
      <c r="C440" s="13"/>
    </row>
    <row r="441">
      <c r="A441" s="12"/>
      <c r="B441" s="13"/>
      <c r="C441" s="13"/>
    </row>
    <row r="442">
      <c r="A442" s="12"/>
      <c r="B442" s="13"/>
      <c r="C442" s="13"/>
    </row>
    <row r="443">
      <c r="A443" s="12"/>
      <c r="B443" s="13"/>
      <c r="C443" s="13"/>
    </row>
    <row r="444">
      <c r="A444" s="12"/>
      <c r="B444" s="13"/>
      <c r="C444" s="13"/>
    </row>
    <row r="445">
      <c r="A445" s="12"/>
      <c r="B445" s="13"/>
      <c r="C445" s="13"/>
    </row>
    <row r="446">
      <c r="A446" s="12"/>
      <c r="B446" s="13"/>
      <c r="C446" s="13"/>
    </row>
    <row r="447">
      <c r="A447" s="12"/>
      <c r="B447" s="13"/>
      <c r="C447" s="13"/>
    </row>
    <row r="448">
      <c r="A448" s="12"/>
      <c r="B448" s="13"/>
      <c r="C448" s="13"/>
    </row>
    <row r="449">
      <c r="A449" s="12"/>
      <c r="B449" s="13"/>
      <c r="C449" s="13"/>
    </row>
    <row r="450">
      <c r="A450" s="12"/>
      <c r="B450" s="13"/>
      <c r="C450" s="13"/>
    </row>
    <row r="451">
      <c r="A451" s="12"/>
      <c r="B451" s="13"/>
      <c r="C451" s="13"/>
    </row>
    <row r="452">
      <c r="A452" s="12"/>
      <c r="B452" s="13"/>
      <c r="C452" s="13"/>
    </row>
    <row r="453">
      <c r="A453" s="12"/>
      <c r="B453" s="13"/>
      <c r="C453" s="13"/>
    </row>
    <row r="454">
      <c r="A454" s="12"/>
      <c r="B454" s="13"/>
      <c r="C454" s="13"/>
    </row>
    <row r="455">
      <c r="A455" s="12"/>
      <c r="B455" s="13"/>
      <c r="C455" s="13"/>
    </row>
    <row r="456">
      <c r="A456" s="12"/>
      <c r="B456" s="13"/>
      <c r="C456" s="13"/>
    </row>
    <row r="457">
      <c r="A457" s="12"/>
      <c r="B457" s="13"/>
      <c r="C457" s="13"/>
    </row>
    <row r="458">
      <c r="A458" s="12"/>
      <c r="B458" s="13"/>
      <c r="C458" s="13"/>
    </row>
    <row r="459">
      <c r="A459" s="12"/>
      <c r="B459" s="13"/>
      <c r="C459" s="13"/>
    </row>
    <row r="460">
      <c r="A460" s="12"/>
      <c r="B460" s="13"/>
      <c r="C460" s="13"/>
    </row>
    <row r="461">
      <c r="A461" s="12"/>
      <c r="B461" s="13"/>
      <c r="C461" s="13"/>
    </row>
    <row r="462">
      <c r="A462" s="12"/>
      <c r="B462" s="13"/>
      <c r="C462" s="13"/>
    </row>
    <row r="463">
      <c r="A463" s="12"/>
      <c r="B463" s="13"/>
      <c r="C463" s="13"/>
    </row>
    <row r="464">
      <c r="A464" s="12"/>
      <c r="B464" s="13"/>
      <c r="C464" s="13"/>
    </row>
    <row r="465">
      <c r="A465" s="12"/>
      <c r="B465" s="13"/>
      <c r="C465" s="13"/>
    </row>
    <row r="466">
      <c r="A466" s="12"/>
      <c r="B466" s="13"/>
      <c r="C466" s="13"/>
    </row>
    <row r="467">
      <c r="A467" s="12"/>
      <c r="B467" s="13"/>
      <c r="C467" s="13"/>
    </row>
    <row r="468">
      <c r="A468" s="12"/>
      <c r="B468" s="13"/>
      <c r="C468" s="13"/>
    </row>
    <row r="469">
      <c r="A469" s="12"/>
      <c r="B469" s="13"/>
      <c r="C469" s="13"/>
    </row>
    <row r="470">
      <c r="A470" s="12"/>
      <c r="B470" s="13"/>
      <c r="C470" s="13"/>
    </row>
    <row r="471">
      <c r="A471" s="12"/>
      <c r="B471" s="13"/>
      <c r="C471" s="13"/>
    </row>
    <row r="472">
      <c r="A472" s="12"/>
      <c r="B472" s="13"/>
      <c r="C472" s="13"/>
    </row>
    <row r="473">
      <c r="A473" s="12"/>
      <c r="B473" s="13"/>
      <c r="C473" s="13"/>
    </row>
    <row r="474">
      <c r="A474" s="12"/>
      <c r="B474" s="13"/>
      <c r="C474" s="13"/>
    </row>
    <row r="475">
      <c r="A475" s="12"/>
      <c r="B475" s="13"/>
      <c r="C475" s="13"/>
    </row>
    <row r="476">
      <c r="A476" s="12"/>
      <c r="B476" s="13"/>
      <c r="C476" s="13"/>
    </row>
    <row r="477">
      <c r="A477" s="12"/>
      <c r="B477" s="13"/>
      <c r="C477" s="13"/>
    </row>
    <row r="478">
      <c r="A478" s="12"/>
      <c r="B478" s="13"/>
      <c r="C478" s="13"/>
    </row>
    <row r="479">
      <c r="A479" s="12"/>
      <c r="B479" s="13"/>
      <c r="C479" s="13"/>
    </row>
    <row r="480">
      <c r="A480" s="12"/>
      <c r="B480" s="13"/>
      <c r="C480" s="13"/>
    </row>
    <row r="481">
      <c r="A481" s="12"/>
      <c r="B481" s="13"/>
      <c r="C481" s="13"/>
    </row>
    <row r="482">
      <c r="A482" s="12"/>
      <c r="B482" s="13"/>
      <c r="C482" s="13"/>
    </row>
    <row r="483">
      <c r="A483" s="12"/>
      <c r="B483" s="13"/>
      <c r="C483" s="13"/>
    </row>
    <row r="484">
      <c r="A484" s="12"/>
      <c r="B484" s="13"/>
      <c r="C484" s="13"/>
    </row>
    <row r="485">
      <c r="A485" s="12"/>
      <c r="B485" s="13"/>
      <c r="C485" s="13"/>
    </row>
    <row r="486">
      <c r="A486" s="12"/>
      <c r="B486" s="13"/>
      <c r="C486" s="13"/>
    </row>
    <row r="487">
      <c r="A487" s="12"/>
      <c r="B487" s="13"/>
      <c r="C487" s="13"/>
    </row>
    <row r="488">
      <c r="A488" s="12"/>
      <c r="B488" s="13"/>
      <c r="C488" s="13"/>
    </row>
    <row r="489">
      <c r="A489" s="12"/>
      <c r="B489" s="13"/>
      <c r="C489" s="13"/>
    </row>
    <row r="490">
      <c r="A490" s="12"/>
      <c r="B490" s="13"/>
      <c r="C490" s="13"/>
    </row>
    <row r="491">
      <c r="A491" s="12"/>
      <c r="B491" s="13"/>
      <c r="C491" s="13"/>
    </row>
    <row r="492">
      <c r="A492" s="12"/>
      <c r="B492" s="13"/>
      <c r="C492" s="13"/>
    </row>
    <row r="493">
      <c r="A493" s="12"/>
      <c r="B493" s="13"/>
      <c r="C493" s="13"/>
    </row>
    <row r="494">
      <c r="A494" s="12"/>
      <c r="B494" s="13"/>
      <c r="C494" s="13"/>
    </row>
    <row r="495">
      <c r="A495" s="12"/>
      <c r="B495" s="13"/>
      <c r="C495" s="13"/>
    </row>
    <row r="496">
      <c r="A496" s="12"/>
      <c r="B496" s="13"/>
      <c r="C496" s="13"/>
    </row>
    <row r="497">
      <c r="A497" s="12"/>
      <c r="B497" s="13"/>
      <c r="C497" s="13"/>
    </row>
    <row r="498">
      <c r="A498" s="12"/>
      <c r="B498" s="13"/>
      <c r="C498" s="13"/>
    </row>
    <row r="499">
      <c r="A499" s="12"/>
      <c r="B499" s="13"/>
      <c r="C499" s="13"/>
    </row>
    <row r="500">
      <c r="A500" s="12"/>
      <c r="B500" s="13"/>
      <c r="C500" s="13"/>
    </row>
    <row r="501">
      <c r="A501" s="12"/>
      <c r="B501" s="13"/>
      <c r="C501" s="13"/>
    </row>
    <row r="502">
      <c r="A502" s="12"/>
      <c r="B502" s="13"/>
      <c r="C502" s="13"/>
    </row>
    <row r="503">
      <c r="A503" s="12"/>
      <c r="B503" s="13"/>
      <c r="C503" s="13"/>
    </row>
    <row r="504">
      <c r="A504" s="12"/>
      <c r="B504" s="13"/>
      <c r="C504" s="13"/>
    </row>
    <row r="505">
      <c r="A505" s="12"/>
      <c r="B505" s="13"/>
      <c r="C505" s="13"/>
    </row>
    <row r="506">
      <c r="A506" s="12"/>
      <c r="B506" s="13"/>
      <c r="C506" s="13"/>
    </row>
    <row r="507">
      <c r="A507" s="12"/>
      <c r="B507" s="13"/>
      <c r="C507" s="13"/>
    </row>
    <row r="508">
      <c r="A508" s="12"/>
      <c r="B508" s="13"/>
      <c r="C508" s="13"/>
    </row>
    <row r="509">
      <c r="A509" s="12"/>
      <c r="B509" s="13"/>
      <c r="C509" s="13"/>
    </row>
    <row r="510">
      <c r="A510" s="12"/>
      <c r="B510" s="13"/>
      <c r="C510" s="13"/>
    </row>
    <row r="511">
      <c r="A511" s="12"/>
      <c r="B511" s="13"/>
      <c r="C511" s="13"/>
    </row>
    <row r="512">
      <c r="A512" s="12"/>
      <c r="B512" s="13"/>
      <c r="C512" s="13"/>
    </row>
    <row r="513">
      <c r="A513" s="12"/>
      <c r="B513" s="13"/>
      <c r="C513" s="13"/>
    </row>
    <row r="514">
      <c r="A514" s="12"/>
      <c r="B514" s="13"/>
      <c r="C514" s="13"/>
    </row>
    <row r="515">
      <c r="A515" s="12"/>
      <c r="B515" s="13"/>
      <c r="C515" s="13"/>
    </row>
    <row r="516">
      <c r="A516" s="12"/>
      <c r="B516" s="13"/>
      <c r="C516" s="13"/>
    </row>
    <row r="517">
      <c r="A517" s="12"/>
      <c r="B517" s="13"/>
      <c r="C517" s="13"/>
    </row>
    <row r="518">
      <c r="A518" s="12"/>
      <c r="B518" s="13"/>
      <c r="C518" s="13"/>
    </row>
    <row r="519">
      <c r="A519" s="12"/>
      <c r="B519" s="13"/>
      <c r="C519" s="13"/>
    </row>
    <row r="520">
      <c r="A520" s="12"/>
      <c r="B520" s="13"/>
      <c r="C520" s="13"/>
    </row>
    <row r="521">
      <c r="A521" s="12"/>
      <c r="B521" s="13"/>
      <c r="C521" s="13"/>
    </row>
    <row r="522">
      <c r="A522" s="12"/>
      <c r="B522" s="13"/>
      <c r="C522" s="13"/>
    </row>
    <row r="523">
      <c r="A523" s="12"/>
      <c r="B523" s="13"/>
      <c r="C523" s="13"/>
    </row>
    <row r="524">
      <c r="A524" s="12"/>
      <c r="B524" s="13"/>
      <c r="C524" s="13"/>
    </row>
    <row r="525">
      <c r="A525" s="12"/>
      <c r="B525" s="13"/>
      <c r="C525" s="13"/>
    </row>
    <row r="526">
      <c r="A526" s="12"/>
      <c r="B526" s="13"/>
      <c r="C526" s="13"/>
    </row>
    <row r="527">
      <c r="A527" s="12"/>
      <c r="B527" s="13"/>
      <c r="C527" s="13"/>
    </row>
    <row r="528">
      <c r="A528" s="12"/>
      <c r="B528" s="13"/>
      <c r="C528" s="13"/>
    </row>
    <row r="529">
      <c r="A529" s="12"/>
      <c r="B529" s="13"/>
      <c r="C529" s="13"/>
    </row>
    <row r="530">
      <c r="A530" s="12"/>
      <c r="B530" s="13"/>
      <c r="C530" s="13"/>
    </row>
    <row r="531">
      <c r="A531" s="12"/>
      <c r="B531" s="13"/>
      <c r="C531" s="13"/>
    </row>
    <row r="532">
      <c r="A532" s="12"/>
      <c r="B532" s="13"/>
      <c r="C532" s="13"/>
    </row>
    <row r="533">
      <c r="A533" s="12"/>
      <c r="B533" s="13"/>
      <c r="C533" s="13"/>
    </row>
    <row r="534">
      <c r="A534" s="12"/>
      <c r="B534" s="13"/>
      <c r="C534" s="13"/>
    </row>
    <row r="535">
      <c r="A535" s="12"/>
      <c r="B535" s="13"/>
      <c r="C535" s="13"/>
    </row>
    <row r="536">
      <c r="A536" s="12"/>
      <c r="B536" s="13"/>
      <c r="C536" s="13"/>
    </row>
    <row r="537">
      <c r="A537" s="12"/>
      <c r="B537" s="13"/>
      <c r="C537" s="13"/>
    </row>
    <row r="538">
      <c r="A538" s="12"/>
      <c r="B538" s="13"/>
      <c r="C538" s="13"/>
    </row>
    <row r="539">
      <c r="A539" s="12"/>
      <c r="B539" s="13"/>
      <c r="C539" s="13"/>
    </row>
    <row r="540">
      <c r="A540" s="12"/>
      <c r="B540" s="13"/>
      <c r="C540" s="13"/>
    </row>
    <row r="541">
      <c r="A541" s="12"/>
      <c r="B541" s="13"/>
      <c r="C541" s="13"/>
    </row>
    <row r="542">
      <c r="A542" s="12"/>
      <c r="B542" s="13"/>
      <c r="C542" s="13"/>
    </row>
    <row r="543">
      <c r="A543" s="12"/>
      <c r="B543" s="13"/>
      <c r="C543" s="13"/>
    </row>
    <row r="544">
      <c r="A544" s="12"/>
      <c r="B544" s="13"/>
      <c r="C544" s="13"/>
    </row>
    <row r="545">
      <c r="A545" s="12"/>
      <c r="B545" s="13"/>
      <c r="C545" s="13"/>
    </row>
    <row r="546">
      <c r="A546" s="12"/>
      <c r="B546" s="13"/>
      <c r="C546" s="13"/>
    </row>
    <row r="547">
      <c r="A547" s="12"/>
      <c r="B547" s="13"/>
      <c r="C547" s="13"/>
    </row>
    <row r="548">
      <c r="A548" s="12"/>
      <c r="B548" s="13"/>
      <c r="C548" s="13"/>
    </row>
    <row r="549">
      <c r="A549" s="12"/>
      <c r="B549" s="13"/>
      <c r="C549" s="13"/>
    </row>
    <row r="550">
      <c r="A550" s="12"/>
      <c r="B550" s="13"/>
      <c r="C550" s="13"/>
    </row>
    <row r="551">
      <c r="A551" s="12"/>
      <c r="B551" s="13"/>
      <c r="C551" s="13"/>
    </row>
    <row r="552">
      <c r="A552" s="12"/>
      <c r="B552" s="13"/>
      <c r="C552" s="13"/>
    </row>
    <row r="553">
      <c r="A553" s="12"/>
      <c r="B553" s="13"/>
      <c r="C553" s="13"/>
    </row>
    <row r="554">
      <c r="A554" s="12"/>
      <c r="B554" s="13"/>
      <c r="C554" s="13"/>
    </row>
    <row r="555">
      <c r="A555" s="12"/>
      <c r="B555" s="13"/>
      <c r="C555" s="13"/>
    </row>
    <row r="556">
      <c r="A556" s="12"/>
      <c r="B556" s="13"/>
      <c r="C556" s="13"/>
    </row>
    <row r="557">
      <c r="A557" s="12"/>
      <c r="B557" s="13"/>
      <c r="C557" s="13"/>
    </row>
    <row r="558">
      <c r="A558" s="12"/>
      <c r="B558" s="13"/>
      <c r="C558" s="13"/>
    </row>
    <row r="559">
      <c r="A559" s="12"/>
      <c r="B559" s="13"/>
      <c r="C559" s="13"/>
    </row>
    <row r="560">
      <c r="A560" s="12"/>
      <c r="B560" s="13"/>
      <c r="C560" s="13"/>
    </row>
    <row r="561">
      <c r="A561" s="12"/>
      <c r="B561" s="13"/>
      <c r="C561" s="13"/>
    </row>
    <row r="562">
      <c r="A562" s="12"/>
      <c r="B562" s="13"/>
      <c r="C562" s="13"/>
    </row>
    <row r="563">
      <c r="A563" s="12"/>
      <c r="B563" s="13"/>
      <c r="C563" s="13"/>
    </row>
    <row r="564">
      <c r="A564" s="12"/>
      <c r="B564" s="13"/>
      <c r="C564" s="13"/>
    </row>
    <row r="565">
      <c r="A565" s="12"/>
      <c r="B565" s="13"/>
      <c r="C565" s="13"/>
    </row>
    <row r="566">
      <c r="A566" s="12"/>
      <c r="B566" s="13"/>
      <c r="C566" s="13"/>
    </row>
    <row r="567">
      <c r="A567" s="12"/>
      <c r="B567" s="13"/>
      <c r="C567" s="13"/>
    </row>
    <row r="568">
      <c r="A568" s="12"/>
      <c r="B568" s="13"/>
      <c r="C568" s="13"/>
    </row>
    <row r="569">
      <c r="A569" s="12"/>
      <c r="B569" s="13"/>
      <c r="C569" s="13"/>
    </row>
    <row r="570">
      <c r="A570" s="12"/>
      <c r="B570" s="13"/>
      <c r="C570" s="13"/>
    </row>
    <row r="571">
      <c r="A571" s="12"/>
      <c r="B571" s="13"/>
      <c r="C571" s="13"/>
    </row>
    <row r="572">
      <c r="A572" s="12"/>
      <c r="B572" s="13"/>
      <c r="C572" s="13"/>
    </row>
    <row r="573">
      <c r="A573" s="12"/>
      <c r="B573" s="13"/>
      <c r="C573" s="13"/>
    </row>
    <row r="574">
      <c r="A574" s="12"/>
      <c r="B574" s="13"/>
      <c r="C574" s="13"/>
    </row>
    <row r="575">
      <c r="A575" s="12"/>
      <c r="B575" s="13"/>
      <c r="C575" s="13"/>
    </row>
    <row r="576">
      <c r="A576" s="12"/>
      <c r="B576" s="13"/>
      <c r="C576" s="13"/>
    </row>
    <row r="577">
      <c r="A577" s="12"/>
      <c r="B577" s="13"/>
      <c r="C577" s="13"/>
    </row>
    <row r="578">
      <c r="A578" s="12"/>
      <c r="B578" s="13"/>
      <c r="C578" s="13"/>
    </row>
    <row r="579">
      <c r="A579" s="12"/>
      <c r="B579" s="13"/>
      <c r="C579" s="13"/>
    </row>
    <row r="580">
      <c r="A580" s="12"/>
      <c r="B580" s="13"/>
      <c r="C580" s="13"/>
    </row>
    <row r="581">
      <c r="A581" s="12"/>
      <c r="B581" s="13"/>
      <c r="C581" s="13"/>
    </row>
    <row r="582">
      <c r="A582" s="12"/>
      <c r="B582" s="13"/>
      <c r="C582" s="13"/>
    </row>
    <row r="583">
      <c r="A583" s="12"/>
      <c r="B583" s="13"/>
      <c r="C583" s="13"/>
    </row>
    <row r="584">
      <c r="A584" s="12"/>
      <c r="B584" s="13"/>
      <c r="C584" s="13"/>
    </row>
    <row r="585">
      <c r="A585" s="12"/>
      <c r="B585" s="13"/>
      <c r="C585" s="13"/>
    </row>
    <row r="586">
      <c r="A586" s="12"/>
      <c r="B586" s="13"/>
      <c r="C586" s="13"/>
    </row>
    <row r="587">
      <c r="A587" s="12"/>
      <c r="B587" s="13"/>
      <c r="C587" s="13"/>
    </row>
    <row r="588">
      <c r="A588" s="12"/>
      <c r="B588" s="13"/>
      <c r="C588" s="13"/>
    </row>
    <row r="589">
      <c r="A589" s="12"/>
      <c r="B589" s="13"/>
      <c r="C589" s="13"/>
    </row>
    <row r="590">
      <c r="A590" s="12"/>
      <c r="B590" s="13"/>
      <c r="C590" s="13"/>
    </row>
    <row r="591">
      <c r="A591" s="12"/>
      <c r="B591" s="13"/>
      <c r="C591" s="13"/>
    </row>
    <row r="592">
      <c r="A592" s="12"/>
      <c r="B592" s="13"/>
      <c r="C592" s="13"/>
    </row>
    <row r="593">
      <c r="A593" s="12"/>
      <c r="B593" s="13"/>
      <c r="C593" s="13"/>
    </row>
    <row r="594">
      <c r="A594" s="12"/>
      <c r="B594" s="13"/>
      <c r="C594" s="13"/>
    </row>
    <row r="595">
      <c r="A595" s="12"/>
      <c r="B595" s="13"/>
      <c r="C595" s="13"/>
    </row>
    <row r="596">
      <c r="A596" s="12"/>
      <c r="B596" s="13"/>
      <c r="C596" s="13"/>
    </row>
    <row r="597">
      <c r="A597" s="12"/>
      <c r="B597" s="13"/>
      <c r="C597" s="13"/>
    </row>
    <row r="598">
      <c r="A598" s="12"/>
      <c r="B598" s="13"/>
      <c r="C598" s="13"/>
    </row>
    <row r="599">
      <c r="A599" s="12"/>
      <c r="B599" s="13"/>
      <c r="C599" s="13"/>
    </row>
    <row r="600">
      <c r="A600" s="12"/>
      <c r="B600" s="13"/>
      <c r="C600" s="13"/>
    </row>
    <row r="601">
      <c r="A601" s="12"/>
      <c r="B601" s="13"/>
      <c r="C601" s="13"/>
    </row>
    <row r="602">
      <c r="A602" s="12"/>
      <c r="B602" s="13"/>
      <c r="C602" s="13"/>
    </row>
    <row r="603">
      <c r="A603" s="12"/>
      <c r="B603" s="13"/>
      <c r="C603" s="13"/>
    </row>
    <row r="604">
      <c r="A604" s="12"/>
      <c r="B604" s="13"/>
      <c r="C604" s="13"/>
    </row>
    <row r="605">
      <c r="A605" s="12"/>
      <c r="B605" s="13"/>
      <c r="C605" s="13"/>
    </row>
    <row r="606">
      <c r="A606" s="12"/>
      <c r="B606" s="13"/>
      <c r="C606" s="13"/>
    </row>
    <row r="607">
      <c r="A607" s="12"/>
      <c r="B607" s="13"/>
      <c r="C607" s="13"/>
    </row>
    <row r="608">
      <c r="A608" s="12"/>
      <c r="B608" s="13"/>
      <c r="C608" s="13"/>
    </row>
    <row r="609">
      <c r="A609" s="12"/>
      <c r="B609" s="13"/>
      <c r="C609" s="13"/>
    </row>
    <row r="610">
      <c r="A610" s="12"/>
      <c r="B610" s="13"/>
      <c r="C610" s="13"/>
    </row>
    <row r="611">
      <c r="A611" s="12"/>
      <c r="B611" s="13"/>
      <c r="C611" s="13"/>
    </row>
    <row r="612">
      <c r="A612" s="12"/>
      <c r="B612" s="13"/>
      <c r="C612" s="13"/>
    </row>
    <row r="613">
      <c r="A613" s="12"/>
      <c r="B613" s="13"/>
      <c r="C613" s="13"/>
    </row>
    <row r="614">
      <c r="A614" s="12"/>
      <c r="B614" s="13"/>
      <c r="C614" s="13"/>
    </row>
    <row r="615">
      <c r="A615" s="12"/>
      <c r="B615" s="13"/>
      <c r="C615" s="13"/>
    </row>
    <row r="616">
      <c r="A616" s="12"/>
      <c r="B616" s="13"/>
      <c r="C616" s="13"/>
    </row>
    <row r="617">
      <c r="A617" s="12"/>
      <c r="B617" s="13"/>
      <c r="C617" s="13"/>
    </row>
    <row r="618">
      <c r="A618" s="12"/>
      <c r="B618" s="13"/>
      <c r="C618" s="13"/>
    </row>
    <row r="619">
      <c r="A619" s="12"/>
      <c r="B619" s="13"/>
      <c r="C619" s="13"/>
    </row>
    <row r="620">
      <c r="A620" s="12"/>
      <c r="B620" s="13"/>
      <c r="C620" s="13"/>
    </row>
    <row r="621">
      <c r="A621" s="12"/>
      <c r="B621" s="13"/>
      <c r="C621" s="13"/>
    </row>
    <row r="622">
      <c r="A622" s="12"/>
      <c r="B622" s="13"/>
      <c r="C622" s="13"/>
    </row>
    <row r="623">
      <c r="A623" s="12"/>
      <c r="B623" s="13"/>
      <c r="C623" s="13"/>
    </row>
    <row r="624">
      <c r="A624" s="12"/>
      <c r="B624" s="13"/>
      <c r="C624" s="13"/>
    </row>
    <row r="625">
      <c r="A625" s="12"/>
      <c r="B625" s="13"/>
      <c r="C625" s="13"/>
    </row>
    <row r="626">
      <c r="A626" s="12"/>
      <c r="B626" s="13"/>
      <c r="C626" s="13"/>
    </row>
    <row r="627">
      <c r="A627" s="12"/>
      <c r="B627" s="13"/>
      <c r="C627" s="13"/>
    </row>
    <row r="628">
      <c r="A628" s="12"/>
      <c r="B628" s="13"/>
      <c r="C628" s="13"/>
    </row>
    <row r="629">
      <c r="A629" s="12"/>
      <c r="B629" s="13"/>
      <c r="C629" s="13"/>
    </row>
    <row r="630">
      <c r="A630" s="12"/>
      <c r="B630" s="13"/>
      <c r="C630" s="13"/>
    </row>
    <row r="631">
      <c r="A631" s="12"/>
      <c r="B631" s="13"/>
      <c r="C631" s="13"/>
    </row>
    <row r="632">
      <c r="A632" s="12"/>
      <c r="B632" s="13"/>
      <c r="C632" s="13"/>
    </row>
    <row r="633">
      <c r="A633" s="12"/>
      <c r="B633" s="13"/>
      <c r="C633" s="13"/>
    </row>
    <row r="634">
      <c r="A634" s="12"/>
      <c r="B634" s="13"/>
      <c r="C634" s="13"/>
    </row>
    <row r="635">
      <c r="A635" s="12"/>
      <c r="B635" s="13"/>
      <c r="C635" s="13"/>
    </row>
    <row r="636">
      <c r="A636" s="12"/>
      <c r="B636" s="13"/>
      <c r="C636" s="13"/>
    </row>
    <row r="637">
      <c r="A637" s="12"/>
      <c r="B637" s="13"/>
      <c r="C637" s="13"/>
    </row>
    <row r="638">
      <c r="A638" s="12"/>
      <c r="B638" s="13"/>
      <c r="C638" s="13"/>
    </row>
    <row r="639">
      <c r="A639" s="12"/>
      <c r="B639" s="13"/>
      <c r="C639" s="13"/>
    </row>
    <row r="640">
      <c r="A640" s="12"/>
      <c r="B640" s="13"/>
      <c r="C640" s="13"/>
    </row>
    <row r="641">
      <c r="A641" s="12"/>
      <c r="B641" s="13"/>
      <c r="C641" s="13"/>
    </row>
    <row r="642">
      <c r="A642" s="12"/>
      <c r="B642" s="13"/>
      <c r="C642" s="13"/>
    </row>
    <row r="643">
      <c r="A643" s="12"/>
      <c r="B643" s="13"/>
      <c r="C643" s="13"/>
    </row>
    <row r="644">
      <c r="A644" s="12"/>
      <c r="B644" s="13"/>
      <c r="C644" s="13"/>
    </row>
    <row r="645">
      <c r="A645" s="12"/>
      <c r="B645" s="13"/>
      <c r="C645" s="13"/>
    </row>
    <row r="646">
      <c r="A646" s="12"/>
      <c r="B646" s="13"/>
      <c r="C646" s="13"/>
    </row>
    <row r="647">
      <c r="A647" s="12"/>
      <c r="B647" s="13"/>
      <c r="C647" s="13"/>
    </row>
    <row r="648">
      <c r="A648" s="12"/>
      <c r="B648" s="13"/>
      <c r="C648" s="13"/>
    </row>
    <row r="649">
      <c r="A649" s="12"/>
      <c r="B649" s="13"/>
      <c r="C649" s="13"/>
    </row>
    <row r="650">
      <c r="A650" s="12"/>
      <c r="B650" s="13"/>
      <c r="C650" s="13"/>
    </row>
    <row r="651">
      <c r="A651" s="12"/>
      <c r="B651" s="13"/>
      <c r="C651" s="13"/>
    </row>
    <row r="652">
      <c r="A652" s="12"/>
      <c r="B652" s="13"/>
      <c r="C652" s="13"/>
    </row>
    <row r="653">
      <c r="A653" s="12"/>
      <c r="B653" s="13"/>
      <c r="C653" s="13"/>
    </row>
    <row r="654">
      <c r="A654" s="12"/>
      <c r="B654" s="13"/>
      <c r="C654" s="13"/>
    </row>
    <row r="655">
      <c r="A655" s="12"/>
      <c r="B655" s="13"/>
      <c r="C655" s="13"/>
    </row>
    <row r="656">
      <c r="A656" s="12"/>
      <c r="B656" s="13"/>
      <c r="C656" s="13"/>
    </row>
    <row r="657">
      <c r="A657" s="12"/>
      <c r="B657" s="13"/>
      <c r="C657" s="13"/>
    </row>
    <row r="658">
      <c r="A658" s="12"/>
      <c r="B658" s="13"/>
      <c r="C658" s="13"/>
    </row>
    <row r="659">
      <c r="A659" s="12"/>
      <c r="B659" s="13"/>
      <c r="C659" s="13"/>
    </row>
    <row r="660">
      <c r="A660" s="12"/>
      <c r="B660" s="13"/>
      <c r="C660" s="13"/>
    </row>
    <row r="661">
      <c r="A661" s="12"/>
      <c r="B661" s="13"/>
      <c r="C661" s="13"/>
    </row>
    <row r="662">
      <c r="A662" s="12"/>
      <c r="B662" s="13"/>
      <c r="C662" s="13"/>
    </row>
    <row r="663">
      <c r="A663" s="12"/>
      <c r="B663" s="13"/>
      <c r="C663" s="13"/>
    </row>
    <row r="664">
      <c r="A664" s="12"/>
      <c r="B664" s="13"/>
      <c r="C664" s="13"/>
    </row>
    <row r="665">
      <c r="A665" s="12"/>
      <c r="B665" s="13"/>
      <c r="C665" s="13"/>
    </row>
    <row r="666">
      <c r="A666" s="12"/>
      <c r="B666" s="13"/>
      <c r="C666" s="13"/>
    </row>
    <row r="667">
      <c r="A667" s="12"/>
      <c r="B667" s="13"/>
      <c r="C667" s="13"/>
    </row>
    <row r="668">
      <c r="A668" s="12"/>
      <c r="B668" s="13"/>
      <c r="C668" s="13"/>
    </row>
    <row r="669">
      <c r="A669" s="12"/>
      <c r="B669" s="13"/>
      <c r="C669" s="13"/>
    </row>
    <row r="670">
      <c r="A670" s="12"/>
      <c r="B670" s="13"/>
      <c r="C670" s="13"/>
    </row>
    <row r="671">
      <c r="A671" s="12"/>
      <c r="B671" s="13"/>
      <c r="C671" s="13"/>
    </row>
    <row r="672">
      <c r="A672" s="12"/>
      <c r="B672" s="13"/>
      <c r="C672" s="13"/>
    </row>
    <row r="673">
      <c r="A673" s="12"/>
      <c r="B673" s="13"/>
      <c r="C673" s="13"/>
    </row>
    <row r="674">
      <c r="A674" s="12"/>
      <c r="B674" s="13"/>
      <c r="C674" s="13"/>
    </row>
    <row r="675">
      <c r="A675" s="12"/>
      <c r="B675" s="13"/>
      <c r="C675" s="13"/>
    </row>
    <row r="676">
      <c r="A676" s="12"/>
      <c r="B676" s="13"/>
      <c r="C676" s="13"/>
    </row>
    <row r="677">
      <c r="A677" s="12"/>
      <c r="B677" s="13"/>
      <c r="C677" s="13"/>
    </row>
    <row r="678">
      <c r="A678" s="12"/>
      <c r="B678" s="13"/>
      <c r="C678" s="13"/>
    </row>
    <row r="679">
      <c r="A679" s="12"/>
      <c r="B679" s="13"/>
      <c r="C679" s="13"/>
    </row>
    <row r="680">
      <c r="A680" s="12"/>
      <c r="B680" s="13"/>
      <c r="C680" s="13"/>
    </row>
    <row r="681">
      <c r="A681" s="12"/>
      <c r="B681" s="13"/>
      <c r="C681" s="13"/>
    </row>
    <row r="682">
      <c r="A682" s="12"/>
      <c r="B682" s="13"/>
      <c r="C682" s="13"/>
    </row>
    <row r="683">
      <c r="A683" s="12"/>
      <c r="B683" s="13"/>
      <c r="C683" s="13"/>
    </row>
    <row r="684">
      <c r="A684" s="12"/>
      <c r="B684" s="13"/>
      <c r="C684" s="13"/>
    </row>
    <row r="685">
      <c r="A685" s="12"/>
      <c r="B685" s="13"/>
      <c r="C685" s="13"/>
    </row>
    <row r="686">
      <c r="A686" s="12"/>
      <c r="B686" s="13"/>
      <c r="C686" s="13"/>
    </row>
    <row r="687">
      <c r="A687" s="12"/>
      <c r="B687" s="13"/>
      <c r="C687" s="13"/>
    </row>
    <row r="688">
      <c r="A688" s="12"/>
      <c r="B688" s="13"/>
      <c r="C688" s="13"/>
    </row>
    <row r="689">
      <c r="A689" s="12"/>
      <c r="B689" s="13"/>
      <c r="C689" s="13"/>
    </row>
    <row r="690">
      <c r="A690" s="12"/>
      <c r="B690" s="13"/>
      <c r="C690" s="13"/>
    </row>
    <row r="691">
      <c r="A691" s="12"/>
      <c r="B691" s="13"/>
      <c r="C691" s="13"/>
    </row>
    <row r="692">
      <c r="A692" s="12"/>
      <c r="B692" s="13"/>
      <c r="C692" s="13"/>
    </row>
    <row r="693">
      <c r="A693" s="12"/>
      <c r="B693" s="13"/>
      <c r="C693" s="13"/>
    </row>
    <row r="694">
      <c r="A694" s="12"/>
      <c r="B694" s="13"/>
      <c r="C694" s="13"/>
    </row>
    <row r="695">
      <c r="A695" s="12"/>
      <c r="B695" s="13"/>
      <c r="C695" s="13"/>
    </row>
    <row r="696">
      <c r="A696" s="12"/>
      <c r="B696" s="13"/>
      <c r="C696" s="13"/>
    </row>
    <row r="697">
      <c r="A697" s="12"/>
      <c r="B697" s="13"/>
      <c r="C697" s="13"/>
    </row>
    <row r="698">
      <c r="A698" s="12"/>
      <c r="B698" s="13"/>
      <c r="C698" s="13"/>
    </row>
    <row r="699">
      <c r="A699" s="12"/>
      <c r="B699" s="13"/>
      <c r="C699" s="13"/>
    </row>
    <row r="700">
      <c r="A700" s="12"/>
      <c r="B700" s="13"/>
      <c r="C700" s="13"/>
    </row>
    <row r="701">
      <c r="A701" s="12"/>
      <c r="B701" s="13"/>
      <c r="C701" s="13"/>
    </row>
    <row r="702">
      <c r="A702" s="12"/>
      <c r="B702" s="13"/>
      <c r="C702" s="13"/>
    </row>
    <row r="703">
      <c r="A703" s="12"/>
      <c r="B703" s="13"/>
      <c r="C703" s="13"/>
    </row>
    <row r="704">
      <c r="A704" s="12"/>
      <c r="B704" s="13"/>
      <c r="C704" s="13"/>
    </row>
    <row r="705">
      <c r="A705" s="12"/>
      <c r="B705" s="13"/>
      <c r="C705" s="13"/>
    </row>
    <row r="706">
      <c r="A706" s="12"/>
      <c r="B706" s="13"/>
      <c r="C706" s="13"/>
    </row>
    <row r="707">
      <c r="A707" s="12"/>
      <c r="B707" s="13"/>
      <c r="C707" s="13"/>
    </row>
    <row r="708">
      <c r="A708" s="12"/>
      <c r="B708" s="13"/>
      <c r="C708" s="13"/>
    </row>
    <row r="709">
      <c r="A709" s="12"/>
      <c r="B709" s="13"/>
      <c r="C709" s="13"/>
    </row>
    <row r="710">
      <c r="A710" s="12"/>
      <c r="B710" s="13"/>
      <c r="C710" s="13"/>
    </row>
    <row r="711">
      <c r="A711" s="12"/>
      <c r="B711" s="13"/>
      <c r="C711" s="13"/>
    </row>
    <row r="712">
      <c r="A712" s="12"/>
      <c r="B712" s="13"/>
      <c r="C712" s="13"/>
    </row>
    <row r="713">
      <c r="A713" s="12"/>
      <c r="B713" s="13"/>
      <c r="C713" s="13"/>
    </row>
    <row r="714">
      <c r="A714" s="12"/>
      <c r="B714" s="13"/>
      <c r="C714" s="13"/>
    </row>
    <row r="715">
      <c r="A715" s="12"/>
      <c r="B715" s="13"/>
      <c r="C715" s="13"/>
    </row>
    <row r="716">
      <c r="A716" s="12"/>
      <c r="B716" s="13"/>
      <c r="C716" s="13"/>
    </row>
    <row r="717">
      <c r="A717" s="12"/>
      <c r="B717" s="13"/>
      <c r="C717" s="13"/>
    </row>
    <row r="718">
      <c r="A718" s="12"/>
      <c r="B718" s="13"/>
      <c r="C718" s="13"/>
    </row>
    <row r="719">
      <c r="A719" s="12"/>
      <c r="B719" s="13"/>
      <c r="C719" s="13"/>
    </row>
    <row r="720">
      <c r="A720" s="12"/>
      <c r="B720" s="13"/>
      <c r="C720" s="13"/>
    </row>
    <row r="721">
      <c r="A721" s="12"/>
      <c r="B721" s="13"/>
      <c r="C721" s="13"/>
    </row>
    <row r="722">
      <c r="A722" s="12"/>
      <c r="B722" s="13"/>
      <c r="C722" s="13"/>
    </row>
    <row r="723">
      <c r="A723" s="12"/>
      <c r="B723" s="13"/>
      <c r="C723" s="13"/>
    </row>
    <row r="724">
      <c r="A724" s="12"/>
      <c r="B724" s="13"/>
      <c r="C724" s="13"/>
    </row>
    <row r="725">
      <c r="A725" s="12"/>
      <c r="B725" s="13"/>
      <c r="C725" s="13"/>
    </row>
    <row r="726">
      <c r="A726" s="12"/>
      <c r="B726" s="13"/>
      <c r="C726" s="13"/>
    </row>
    <row r="727">
      <c r="A727" s="12"/>
      <c r="B727" s="13"/>
      <c r="C727" s="13"/>
    </row>
    <row r="728">
      <c r="A728" s="12"/>
      <c r="B728" s="13"/>
      <c r="C728" s="13"/>
    </row>
    <row r="729">
      <c r="A729" s="12"/>
      <c r="B729" s="13"/>
      <c r="C729" s="13"/>
    </row>
    <row r="730">
      <c r="A730" s="12"/>
      <c r="B730" s="13"/>
      <c r="C730" s="13"/>
    </row>
    <row r="731">
      <c r="A731" s="12"/>
      <c r="B731" s="13"/>
      <c r="C731" s="13"/>
    </row>
    <row r="732">
      <c r="A732" s="12"/>
      <c r="B732" s="13"/>
      <c r="C732" s="13"/>
    </row>
    <row r="733">
      <c r="A733" s="12"/>
      <c r="B733" s="13"/>
      <c r="C733" s="13"/>
    </row>
    <row r="734">
      <c r="A734" s="12"/>
      <c r="B734" s="13"/>
      <c r="C734" s="13"/>
    </row>
    <row r="735">
      <c r="A735" s="12"/>
      <c r="B735" s="13"/>
      <c r="C735" s="13"/>
    </row>
    <row r="736">
      <c r="A736" s="12"/>
      <c r="B736" s="13"/>
      <c r="C736" s="13"/>
    </row>
    <row r="737">
      <c r="A737" s="12"/>
      <c r="B737" s="13"/>
      <c r="C737" s="13"/>
    </row>
    <row r="738">
      <c r="A738" s="12"/>
      <c r="B738" s="13"/>
      <c r="C738" s="13"/>
    </row>
    <row r="739">
      <c r="A739" s="12"/>
      <c r="B739" s="13"/>
      <c r="C739" s="13"/>
    </row>
    <row r="740">
      <c r="A740" s="12"/>
      <c r="B740" s="13"/>
      <c r="C740" s="13"/>
    </row>
    <row r="741">
      <c r="A741" s="12"/>
      <c r="B741" s="13"/>
      <c r="C741" s="13"/>
    </row>
    <row r="742">
      <c r="A742" s="12"/>
      <c r="B742" s="13"/>
      <c r="C742" s="13"/>
    </row>
    <row r="743">
      <c r="A743" s="12"/>
      <c r="B743" s="13"/>
      <c r="C743" s="13"/>
    </row>
    <row r="744">
      <c r="A744" s="12"/>
      <c r="B744" s="13"/>
      <c r="C744" s="13"/>
    </row>
    <row r="745">
      <c r="A745" s="12"/>
      <c r="B745" s="13"/>
      <c r="C745" s="13"/>
    </row>
    <row r="746">
      <c r="A746" s="12"/>
      <c r="B746" s="13"/>
      <c r="C746" s="13"/>
    </row>
    <row r="747">
      <c r="A747" s="12"/>
      <c r="B747" s="13"/>
      <c r="C747" s="13"/>
    </row>
    <row r="748">
      <c r="A748" s="12"/>
      <c r="B748" s="13"/>
      <c r="C748" s="13"/>
    </row>
    <row r="749">
      <c r="A749" s="12"/>
      <c r="B749" s="13"/>
      <c r="C749" s="13"/>
    </row>
    <row r="750">
      <c r="A750" s="12"/>
      <c r="B750" s="13"/>
      <c r="C750" s="13"/>
    </row>
    <row r="751">
      <c r="A751" s="12"/>
      <c r="B751" s="13"/>
      <c r="C751" s="13"/>
    </row>
    <row r="752">
      <c r="A752" s="12"/>
      <c r="B752" s="13"/>
      <c r="C752" s="13"/>
    </row>
    <row r="753">
      <c r="A753" s="12"/>
      <c r="B753" s="13"/>
      <c r="C753" s="13"/>
    </row>
    <row r="754">
      <c r="A754" s="12"/>
      <c r="B754" s="13"/>
      <c r="C754" s="13"/>
    </row>
    <row r="755">
      <c r="A755" s="12"/>
      <c r="B755" s="13"/>
      <c r="C755" s="13"/>
    </row>
    <row r="756">
      <c r="A756" s="12"/>
      <c r="B756" s="13"/>
      <c r="C756" s="13"/>
    </row>
    <row r="757">
      <c r="A757" s="12"/>
      <c r="B757" s="13"/>
      <c r="C757" s="13"/>
    </row>
    <row r="758">
      <c r="A758" s="12"/>
      <c r="B758" s="13"/>
      <c r="C758" s="13"/>
    </row>
    <row r="759">
      <c r="A759" s="12"/>
      <c r="B759" s="13"/>
      <c r="C759" s="13"/>
    </row>
    <row r="760">
      <c r="A760" s="12"/>
      <c r="B760" s="13"/>
      <c r="C760" s="13"/>
    </row>
    <row r="761">
      <c r="A761" s="12"/>
      <c r="B761" s="13"/>
      <c r="C761" s="13"/>
    </row>
    <row r="762">
      <c r="A762" s="12"/>
      <c r="B762" s="13"/>
      <c r="C762" s="13"/>
    </row>
    <row r="763">
      <c r="A763" s="12"/>
      <c r="B763" s="13"/>
      <c r="C763" s="13"/>
    </row>
    <row r="764">
      <c r="A764" s="12"/>
      <c r="B764" s="13"/>
      <c r="C764" s="13"/>
    </row>
    <row r="765">
      <c r="A765" s="12"/>
      <c r="B765" s="13"/>
      <c r="C765" s="13"/>
    </row>
    <row r="766">
      <c r="A766" s="12"/>
      <c r="B766" s="13"/>
      <c r="C766" s="13"/>
    </row>
    <row r="767">
      <c r="A767" s="12"/>
      <c r="B767" s="13"/>
      <c r="C767" s="13"/>
    </row>
    <row r="768">
      <c r="A768" s="12"/>
      <c r="B768" s="13"/>
      <c r="C768" s="13"/>
    </row>
    <row r="769">
      <c r="A769" s="12"/>
      <c r="B769" s="13"/>
      <c r="C769" s="13"/>
    </row>
    <row r="770">
      <c r="A770" s="12"/>
      <c r="B770" s="13"/>
      <c r="C770" s="13"/>
    </row>
    <row r="771">
      <c r="A771" s="12"/>
      <c r="B771" s="13"/>
      <c r="C771" s="13"/>
    </row>
    <row r="772">
      <c r="A772" s="12"/>
      <c r="B772" s="13"/>
      <c r="C772" s="13"/>
    </row>
    <row r="773">
      <c r="A773" s="12"/>
      <c r="B773" s="13"/>
      <c r="C773" s="13"/>
    </row>
    <row r="774">
      <c r="A774" s="12"/>
      <c r="B774" s="13"/>
      <c r="C774" s="13"/>
    </row>
    <row r="775">
      <c r="A775" s="12"/>
      <c r="B775" s="13"/>
      <c r="C775" s="13"/>
    </row>
    <row r="776">
      <c r="A776" s="12"/>
      <c r="B776" s="13"/>
      <c r="C776" s="13"/>
    </row>
    <row r="777">
      <c r="A777" s="12"/>
      <c r="B777" s="13"/>
      <c r="C777" s="13"/>
    </row>
    <row r="778">
      <c r="A778" s="12"/>
      <c r="B778" s="13"/>
      <c r="C778" s="13"/>
    </row>
    <row r="779">
      <c r="A779" s="12"/>
      <c r="B779" s="13"/>
      <c r="C779" s="13"/>
    </row>
    <row r="780">
      <c r="A780" s="12"/>
      <c r="B780" s="13"/>
      <c r="C780" s="13"/>
    </row>
    <row r="781">
      <c r="A781" s="12"/>
      <c r="B781" s="13"/>
      <c r="C781" s="13"/>
    </row>
    <row r="782">
      <c r="A782" s="12"/>
      <c r="B782" s="13"/>
      <c r="C782" s="13"/>
    </row>
    <row r="783">
      <c r="A783" s="12"/>
      <c r="B783" s="13"/>
      <c r="C783" s="13"/>
    </row>
    <row r="784">
      <c r="A784" s="12"/>
      <c r="B784" s="13"/>
      <c r="C784" s="13"/>
    </row>
    <row r="785">
      <c r="A785" s="12"/>
      <c r="B785" s="13"/>
      <c r="C785" s="13"/>
    </row>
    <row r="786">
      <c r="A786" s="12"/>
      <c r="B786" s="13"/>
      <c r="C786" s="13"/>
    </row>
    <row r="787">
      <c r="A787" s="12"/>
      <c r="B787" s="13"/>
      <c r="C787" s="13"/>
    </row>
    <row r="788">
      <c r="A788" s="12"/>
      <c r="B788" s="13"/>
      <c r="C788" s="13"/>
    </row>
    <row r="789">
      <c r="A789" s="12"/>
      <c r="B789" s="13"/>
      <c r="C789" s="13"/>
    </row>
    <row r="790">
      <c r="A790" s="12"/>
      <c r="B790" s="13"/>
      <c r="C790" s="13"/>
    </row>
    <row r="791">
      <c r="A791" s="12"/>
      <c r="B791" s="13"/>
      <c r="C791" s="13"/>
    </row>
    <row r="792">
      <c r="A792" s="12"/>
      <c r="B792" s="13"/>
      <c r="C792" s="13"/>
    </row>
    <row r="793">
      <c r="A793" s="12"/>
      <c r="B793" s="13"/>
      <c r="C793" s="13"/>
    </row>
    <row r="794">
      <c r="A794" s="12"/>
      <c r="B794" s="13"/>
      <c r="C794" s="13"/>
    </row>
    <row r="795">
      <c r="A795" s="12"/>
      <c r="B795" s="13"/>
      <c r="C795" s="13"/>
    </row>
    <row r="796">
      <c r="A796" s="12"/>
      <c r="B796" s="13"/>
      <c r="C796" s="13"/>
    </row>
    <row r="797">
      <c r="A797" s="12"/>
      <c r="B797" s="13"/>
      <c r="C797" s="13"/>
    </row>
    <row r="798">
      <c r="A798" s="12"/>
      <c r="B798" s="13"/>
      <c r="C798" s="13"/>
    </row>
    <row r="799">
      <c r="A799" s="12"/>
      <c r="B799" s="13"/>
      <c r="C799" s="13"/>
    </row>
    <row r="800">
      <c r="A800" s="12"/>
      <c r="B800" s="13"/>
      <c r="C800" s="13"/>
    </row>
    <row r="801">
      <c r="A801" s="12"/>
      <c r="B801" s="13"/>
      <c r="C801" s="13"/>
    </row>
    <row r="802">
      <c r="A802" s="12"/>
      <c r="B802" s="13"/>
      <c r="C802" s="13"/>
    </row>
    <row r="803">
      <c r="A803" s="12"/>
      <c r="B803" s="13"/>
      <c r="C803" s="13"/>
    </row>
    <row r="804">
      <c r="A804" s="12"/>
      <c r="B804" s="13"/>
      <c r="C804" s="13"/>
    </row>
    <row r="805">
      <c r="A805" s="12"/>
      <c r="B805" s="13"/>
      <c r="C805" s="13"/>
    </row>
    <row r="806">
      <c r="A806" s="12"/>
      <c r="B806" s="13"/>
      <c r="C806" s="13"/>
    </row>
    <row r="807">
      <c r="A807" s="12"/>
      <c r="B807" s="13"/>
      <c r="C807" s="13"/>
    </row>
    <row r="808">
      <c r="A808" s="12"/>
      <c r="B808" s="13"/>
      <c r="C808" s="13"/>
    </row>
    <row r="809">
      <c r="A809" s="12"/>
      <c r="B809" s="13"/>
      <c r="C809" s="13"/>
    </row>
    <row r="810">
      <c r="A810" s="12"/>
      <c r="B810" s="13"/>
      <c r="C810" s="13"/>
    </row>
    <row r="811">
      <c r="A811" s="12"/>
      <c r="B811" s="13"/>
      <c r="C811" s="13"/>
    </row>
    <row r="812">
      <c r="A812" s="12"/>
      <c r="B812" s="13"/>
      <c r="C812" s="13"/>
    </row>
    <row r="813">
      <c r="A813" s="12"/>
      <c r="B813" s="13"/>
      <c r="C813" s="13"/>
    </row>
    <row r="814">
      <c r="A814" s="12"/>
      <c r="B814" s="13"/>
      <c r="C814" s="13"/>
    </row>
    <row r="815">
      <c r="A815" s="12"/>
      <c r="B815" s="13"/>
      <c r="C815" s="13"/>
    </row>
    <row r="816">
      <c r="A816" s="12"/>
      <c r="B816" s="13"/>
      <c r="C816" s="13"/>
    </row>
    <row r="817">
      <c r="A817" s="12"/>
      <c r="B817" s="13"/>
      <c r="C817" s="13"/>
    </row>
    <row r="818">
      <c r="A818" s="12"/>
      <c r="B818" s="13"/>
      <c r="C818" s="13"/>
    </row>
    <row r="819">
      <c r="A819" s="12"/>
      <c r="B819" s="13"/>
      <c r="C819" s="13"/>
    </row>
    <row r="820">
      <c r="A820" s="12"/>
      <c r="B820" s="13"/>
      <c r="C820" s="13"/>
    </row>
    <row r="821">
      <c r="A821" s="12"/>
      <c r="B821" s="13"/>
      <c r="C821" s="13"/>
    </row>
    <row r="822">
      <c r="A822" s="12"/>
      <c r="B822" s="13"/>
      <c r="C822" s="13"/>
    </row>
    <row r="823">
      <c r="A823" s="12"/>
      <c r="B823" s="13"/>
      <c r="C823" s="13"/>
    </row>
    <row r="824">
      <c r="A824" s="12"/>
      <c r="B824" s="13"/>
      <c r="C824" s="13"/>
    </row>
    <row r="825">
      <c r="A825" s="12"/>
      <c r="B825" s="13"/>
      <c r="C825" s="13"/>
    </row>
    <row r="826">
      <c r="A826" s="12"/>
      <c r="B826" s="13"/>
      <c r="C826" s="13"/>
    </row>
    <row r="827">
      <c r="A827" s="12"/>
      <c r="B827" s="13"/>
      <c r="C827" s="13"/>
    </row>
    <row r="828">
      <c r="A828" s="12"/>
      <c r="B828" s="13"/>
      <c r="C828" s="13"/>
    </row>
    <row r="829">
      <c r="A829" s="12"/>
      <c r="B829" s="13"/>
      <c r="C829" s="13"/>
    </row>
    <row r="830">
      <c r="A830" s="12"/>
      <c r="B830" s="13"/>
      <c r="C830" s="13"/>
    </row>
    <row r="831">
      <c r="A831" s="12"/>
      <c r="B831" s="13"/>
      <c r="C831" s="13"/>
    </row>
    <row r="832">
      <c r="A832" s="12"/>
      <c r="B832" s="13"/>
      <c r="C832" s="13"/>
    </row>
    <row r="833">
      <c r="A833" s="12"/>
      <c r="B833" s="13"/>
      <c r="C833" s="13"/>
    </row>
    <row r="834">
      <c r="A834" s="12"/>
      <c r="B834" s="13"/>
      <c r="C834" s="13"/>
    </row>
    <row r="835">
      <c r="A835" s="12"/>
      <c r="B835" s="13"/>
      <c r="C835" s="13"/>
    </row>
    <row r="836">
      <c r="A836" s="12"/>
      <c r="B836" s="13"/>
      <c r="C836" s="13"/>
    </row>
    <row r="837">
      <c r="A837" s="12"/>
      <c r="B837" s="13"/>
      <c r="C837" s="13"/>
    </row>
    <row r="838">
      <c r="A838" s="12"/>
      <c r="B838" s="13"/>
      <c r="C838" s="13"/>
    </row>
    <row r="839">
      <c r="A839" s="12"/>
      <c r="B839" s="13"/>
      <c r="C839" s="13"/>
    </row>
    <row r="840">
      <c r="A840" s="12"/>
      <c r="B840" s="13"/>
      <c r="C840" s="13"/>
    </row>
    <row r="841">
      <c r="A841" s="12"/>
      <c r="B841" s="13"/>
      <c r="C841" s="13"/>
    </row>
    <row r="842">
      <c r="A842" s="12"/>
      <c r="B842" s="13"/>
      <c r="C842" s="13"/>
    </row>
    <row r="843">
      <c r="A843" s="12"/>
      <c r="B843" s="13"/>
      <c r="C843" s="13"/>
    </row>
    <row r="844">
      <c r="A844" s="12"/>
      <c r="B844" s="13"/>
      <c r="C844" s="13"/>
    </row>
    <row r="845">
      <c r="A845" s="12"/>
      <c r="B845" s="13"/>
      <c r="C845" s="13"/>
    </row>
    <row r="846">
      <c r="A846" s="12"/>
      <c r="B846" s="13"/>
      <c r="C846" s="13"/>
    </row>
    <row r="847">
      <c r="A847" s="12"/>
      <c r="B847" s="13"/>
      <c r="C847" s="13"/>
    </row>
    <row r="848">
      <c r="A848" s="12"/>
      <c r="B848" s="13"/>
      <c r="C848" s="13"/>
    </row>
    <row r="849">
      <c r="A849" s="12"/>
      <c r="B849" s="13"/>
      <c r="C849" s="13"/>
    </row>
    <row r="850">
      <c r="A850" s="12"/>
      <c r="B850" s="13"/>
      <c r="C850" s="13"/>
    </row>
    <row r="851">
      <c r="A851" s="12"/>
      <c r="B851" s="13"/>
      <c r="C851" s="13"/>
    </row>
    <row r="852">
      <c r="A852" s="12"/>
      <c r="B852" s="13"/>
      <c r="C852" s="13"/>
    </row>
    <row r="853">
      <c r="A853" s="12"/>
      <c r="B853" s="13"/>
      <c r="C853" s="13"/>
    </row>
    <row r="854">
      <c r="A854" s="12"/>
      <c r="B854" s="13"/>
      <c r="C854" s="13"/>
    </row>
    <row r="855">
      <c r="A855" s="12"/>
      <c r="B855" s="13"/>
      <c r="C855" s="13"/>
    </row>
    <row r="856">
      <c r="A856" s="12"/>
      <c r="B856" s="13"/>
      <c r="C856" s="13"/>
    </row>
    <row r="857">
      <c r="A857" s="12"/>
      <c r="B857" s="13"/>
      <c r="C857" s="13"/>
    </row>
    <row r="858">
      <c r="A858" s="12"/>
      <c r="B858" s="13"/>
      <c r="C858" s="13"/>
    </row>
    <row r="859">
      <c r="A859" s="12"/>
      <c r="B859" s="13"/>
      <c r="C859" s="13"/>
    </row>
    <row r="860">
      <c r="A860" s="12"/>
      <c r="B860" s="13"/>
      <c r="C860" s="13"/>
    </row>
    <row r="861">
      <c r="A861" s="12"/>
      <c r="B861" s="13"/>
      <c r="C861" s="13"/>
    </row>
    <row r="862">
      <c r="A862" s="12"/>
      <c r="B862" s="13"/>
      <c r="C862" s="13"/>
    </row>
    <row r="863">
      <c r="A863" s="12"/>
      <c r="B863" s="13"/>
      <c r="C863" s="13"/>
    </row>
    <row r="864">
      <c r="A864" s="12"/>
      <c r="B864" s="13"/>
      <c r="C864" s="13"/>
    </row>
    <row r="865">
      <c r="A865" s="12"/>
      <c r="B865" s="13"/>
      <c r="C865" s="13"/>
    </row>
    <row r="866">
      <c r="A866" s="12"/>
      <c r="B866" s="13"/>
      <c r="C866" s="13"/>
    </row>
    <row r="867">
      <c r="A867" s="12"/>
      <c r="B867" s="13"/>
      <c r="C867" s="13"/>
    </row>
    <row r="868">
      <c r="A868" s="12"/>
      <c r="B868" s="13"/>
      <c r="C868" s="13"/>
    </row>
    <row r="869">
      <c r="A869" s="12"/>
      <c r="B869" s="13"/>
      <c r="C869" s="13"/>
    </row>
    <row r="870">
      <c r="A870" s="12"/>
      <c r="B870" s="13"/>
      <c r="C870" s="13"/>
    </row>
    <row r="871">
      <c r="A871" s="12"/>
      <c r="B871" s="13"/>
      <c r="C871" s="13"/>
    </row>
    <row r="872">
      <c r="A872" s="12"/>
      <c r="B872" s="13"/>
      <c r="C872" s="13"/>
    </row>
    <row r="873">
      <c r="A873" s="12"/>
      <c r="B873" s="13"/>
      <c r="C873" s="13"/>
    </row>
    <row r="874">
      <c r="A874" s="12"/>
      <c r="B874" s="13"/>
      <c r="C874" s="13"/>
    </row>
    <row r="875">
      <c r="A875" s="12"/>
      <c r="B875" s="13"/>
      <c r="C875" s="13"/>
    </row>
    <row r="876">
      <c r="A876" s="12"/>
      <c r="B876" s="13"/>
      <c r="C876" s="13"/>
    </row>
    <row r="877">
      <c r="A877" s="12"/>
      <c r="B877" s="13"/>
      <c r="C877" s="13"/>
    </row>
    <row r="878">
      <c r="A878" s="12"/>
      <c r="B878" s="13"/>
      <c r="C878" s="13"/>
    </row>
    <row r="879">
      <c r="A879" s="12"/>
      <c r="B879" s="13"/>
      <c r="C879" s="13"/>
    </row>
    <row r="880">
      <c r="A880" s="12"/>
      <c r="B880" s="13"/>
      <c r="C880" s="13"/>
    </row>
    <row r="881">
      <c r="A881" s="12"/>
      <c r="B881" s="13"/>
      <c r="C881" s="13"/>
    </row>
    <row r="882">
      <c r="A882" s="12"/>
      <c r="B882" s="13"/>
      <c r="C882" s="13"/>
    </row>
    <row r="883">
      <c r="A883" s="12"/>
      <c r="B883" s="13"/>
      <c r="C883" s="13"/>
    </row>
    <row r="884">
      <c r="A884" s="12"/>
      <c r="B884" s="13"/>
      <c r="C884" s="13"/>
    </row>
    <row r="885">
      <c r="A885" s="12"/>
      <c r="B885" s="13"/>
      <c r="C885" s="13"/>
    </row>
    <row r="886">
      <c r="A886" s="12"/>
      <c r="B886" s="13"/>
      <c r="C886" s="13"/>
    </row>
    <row r="887">
      <c r="A887" s="12"/>
      <c r="B887" s="13"/>
      <c r="C887" s="13"/>
    </row>
    <row r="888">
      <c r="A888" s="12"/>
      <c r="B888" s="13"/>
      <c r="C888" s="13"/>
    </row>
    <row r="889">
      <c r="A889" s="12"/>
      <c r="B889" s="13"/>
      <c r="C889" s="13"/>
    </row>
    <row r="890">
      <c r="A890" s="12"/>
      <c r="B890" s="13"/>
      <c r="C890" s="13"/>
    </row>
    <row r="891">
      <c r="A891" s="12"/>
      <c r="B891" s="13"/>
      <c r="C891" s="13"/>
    </row>
    <row r="892">
      <c r="A892" s="12"/>
      <c r="B892" s="13"/>
      <c r="C892" s="13"/>
    </row>
    <row r="893">
      <c r="A893" s="12"/>
      <c r="B893" s="13"/>
      <c r="C893" s="13"/>
    </row>
    <row r="894">
      <c r="A894" s="12"/>
      <c r="B894" s="13"/>
      <c r="C894" s="13"/>
    </row>
    <row r="895">
      <c r="A895" s="12"/>
      <c r="B895" s="13"/>
      <c r="C895" s="13"/>
    </row>
    <row r="896">
      <c r="A896" s="12"/>
      <c r="B896" s="13"/>
      <c r="C896" s="13"/>
    </row>
    <row r="897">
      <c r="A897" s="12"/>
      <c r="B897" s="13"/>
      <c r="C897" s="13"/>
    </row>
    <row r="898">
      <c r="A898" s="12"/>
      <c r="B898" s="13"/>
      <c r="C898" s="13"/>
    </row>
    <row r="899">
      <c r="A899" s="12"/>
      <c r="B899" s="13"/>
      <c r="C899" s="13"/>
    </row>
    <row r="900">
      <c r="A900" s="12"/>
      <c r="B900" s="13"/>
      <c r="C900" s="13"/>
    </row>
    <row r="901">
      <c r="A901" s="12"/>
      <c r="B901" s="13"/>
      <c r="C901" s="13"/>
    </row>
    <row r="902">
      <c r="A902" s="12"/>
      <c r="B902" s="13"/>
      <c r="C902" s="13"/>
    </row>
    <row r="903">
      <c r="A903" s="12"/>
      <c r="B903" s="13"/>
      <c r="C903" s="13"/>
    </row>
    <row r="904">
      <c r="A904" s="12"/>
      <c r="B904" s="13"/>
      <c r="C904" s="13"/>
    </row>
    <row r="905">
      <c r="A905" s="12"/>
      <c r="B905" s="13"/>
      <c r="C905" s="13"/>
    </row>
    <row r="906">
      <c r="A906" s="12"/>
      <c r="B906" s="13"/>
      <c r="C906" s="13"/>
    </row>
    <row r="907">
      <c r="A907" s="12"/>
      <c r="B907" s="13"/>
      <c r="C907" s="13"/>
    </row>
    <row r="908">
      <c r="A908" s="12"/>
      <c r="B908" s="13"/>
      <c r="C908" s="13"/>
    </row>
    <row r="909">
      <c r="A909" s="12"/>
      <c r="B909" s="13"/>
      <c r="C909" s="13"/>
    </row>
    <row r="910">
      <c r="A910" s="12"/>
      <c r="B910" s="13"/>
      <c r="C910" s="13"/>
    </row>
    <row r="911">
      <c r="A911" s="12"/>
      <c r="B911" s="13"/>
      <c r="C911" s="13"/>
    </row>
    <row r="912">
      <c r="A912" s="12"/>
      <c r="B912" s="13"/>
      <c r="C912" s="13"/>
    </row>
    <row r="913">
      <c r="A913" s="12"/>
      <c r="B913" s="13"/>
      <c r="C913" s="13"/>
    </row>
    <row r="914">
      <c r="A914" s="12"/>
      <c r="B914" s="13"/>
      <c r="C914" s="13"/>
    </row>
    <row r="915">
      <c r="A915" s="12"/>
      <c r="B915" s="13"/>
      <c r="C915" s="13"/>
    </row>
    <row r="916">
      <c r="A916" s="12"/>
      <c r="B916" s="13"/>
      <c r="C916" s="13"/>
    </row>
    <row r="917">
      <c r="A917" s="12"/>
      <c r="B917" s="13"/>
      <c r="C917" s="13"/>
    </row>
    <row r="918">
      <c r="A918" s="12"/>
      <c r="B918" s="13"/>
      <c r="C918" s="13"/>
    </row>
    <row r="919">
      <c r="A919" s="12"/>
      <c r="B919" s="13"/>
      <c r="C919" s="13"/>
    </row>
    <row r="920">
      <c r="A920" s="12"/>
      <c r="B920" s="13"/>
      <c r="C920" s="13"/>
    </row>
    <row r="921">
      <c r="A921" s="12"/>
      <c r="B921" s="13"/>
      <c r="C921" s="13"/>
    </row>
    <row r="922">
      <c r="A922" s="12"/>
      <c r="B922" s="13"/>
      <c r="C922" s="13"/>
    </row>
    <row r="923">
      <c r="A923" s="12"/>
      <c r="B923" s="13"/>
      <c r="C923" s="13"/>
    </row>
    <row r="924">
      <c r="A924" s="12"/>
      <c r="B924" s="13"/>
      <c r="C924" s="13"/>
    </row>
    <row r="925">
      <c r="A925" s="12"/>
      <c r="B925" s="13"/>
      <c r="C925" s="13"/>
    </row>
    <row r="926">
      <c r="A926" s="12"/>
      <c r="B926" s="13"/>
      <c r="C926" s="13"/>
    </row>
    <row r="927">
      <c r="A927" s="12"/>
      <c r="B927" s="13"/>
      <c r="C927" s="13"/>
    </row>
    <row r="928">
      <c r="A928" s="12"/>
      <c r="B928" s="13"/>
      <c r="C928" s="13"/>
    </row>
    <row r="929">
      <c r="A929" s="12"/>
      <c r="B929" s="13"/>
      <c r="C929" s="13"/>
    </row>
    <row r="930">
      <c r="A930" s="12"/>
      <c r="B930" s="13"/>
      <c r="C930" s="13"/>
    </row>
    <row r="931">
      <c r="A931" s="12"/>
      <c r="B931" s="13"/>
      <c r="C931" s="13"/>
    </row>
    <row r="932">
      <c r="A932" s="12"/>
      <c r="B932" s="13"/>
      <c r="C932" s="13"/>
    </row>
    <row r="933">
      <c r="A933" s="12"/>
      <c r="B933" s="13"/>
      <c r="C933" s="13"/>
    </row>
    <row r="934">
      <c r="A934" s="12"/>
      <c r="B934" s="13"/>
      <c r="C934" s="13"/>
    </row>
    <row r="935">
      <c r="A935" s="12"/>
      <c r="B935" s="13"/>
      <c r="C935" s="13"/>
    </row>
    <row r="936">
      <c r="A936" s="12"/>
      <c r="B936" s="13"/>
      <c r="C936" s="13"/>
    </row>
    <row r="937">
      <c r="A937" s="12"/>
      <c r="B937" s="13"/>
      <c r="C937" s="13"/>
    </row>
    <row r="938">
      <c r="A938" s="12"/>
      <c r="B938" s="13"/>
      <c r="C938" s="13"/>
    </row>
    <row r="939">
      <c r="A939" s="12"/>
      <c r="B939" s="13"/>
      <c r="C939" s="13"/>
    </row>
    <row r="940">
      <c r="A940" s="12"/>
      <c r="B940" s="13"/>
      <c r="C940" s="13"/>
    </row>
    <row r="941">
      <c r="A941" s="12"/>
      <c r="B941" s="13"/>
      <c r="C941" s="13"/>
    </row>
    <row r="942">
      <c r="A942" s="12"/>
      <c r="B942" s="13"/>
      <c r="C942" s="13"/>
    </row>
    <row r="943">
      <c r="A943" s="12"/>
      <c r="B943" s="13"/>
      <c r="C943" s="13"/>
    </row>
    <row r="944">
      <c r="A944" s="12"/>
      <c r="B944" s="13"/>
      <c r="C944" s="13"/>
    </row>
    <row r="945">
      <c r="A945" s="12"/>
      <c r="B945" s="13"/>
      <c r="C945" s="13"/>
    </row>
    <row r="946">
      <c r="A946" s="12"/>
      <c r="B946" s="13"/>
      <c r="C946" s="13"/>
    </row>
    <row r="947">
      <c r="A947" s="12"/>
      <c r="B947" s="13"/>
      <c r="C947" s="13"/>
    </row>
    <row r="948">
      <c r="A948" s="12"/>
      <c r="B948" s="13"/>
      <c r="C948" s="13"/>
    </row>
    <row r="949">
      <c r="A949" s="12"/>
      <c r="B949" s="13"/>
      <c r="C949" s="13"/>
    </row>
    <row r="950">
      <c r="A950" s="12"/>
      <c r="B950" s="13"/>
      <c r="C950" s="13"/>
    </row>
    <row r="951">
      <c r="A951" s="12"/>
      <c r="B951" s="13"/>
      <c r="C951" s="13"/>
    </row>
    <row r="952">
      <c r="A952" s="12"/>
      <c r="B952" s="13"/>
      <c r="C952" s="13"/>
    </row>
    <row r="953">
      <c r="A953" s="12"/>
      <c r="B953" s="13"/>
      <c r="C953" s="13"/>
    </row>
    <row r="954">
      <c r="A954" s="12"/>
      <c r="B954" s="13"/>
      <c r="C954" s="13"/>
    </row>
    <row r="955">
      <c r="A955" s="12"/>
      <c r="B955" s="13"/>
      <c r="C955" s="13"/>
    </row>
    <row r="956">
      <c r="A956" s="12"/>
      <c r="B956" s="13"/>
      <c r="C956" s="13"/>
    </row>
    <row r="957">
      <c r="A957" s="12"/>
      <c r="B957" s="13"/>
      <c r="C957" s="13"/>
    </row>
    <row r="958">
      <c r="A958" s="12"/>
      <c r="B958" s="13"/>
      <c r="C958" s="13"/>
    </row>
    <row r="959">
      <c r="A959" s="12"/>
      <c r="B959" s="13"/>
      <c r="C959" s="13"/>
    </row>
    <row r="960">
      <c r="A960" s="12"/>
      <c r="B960" s="13"/>
      <c r="C960" s="13"/>
    </row>
    <row r="961">
      <c r="A961" s="12"/>
      <c r="B961" s="13"/>
      <c r="C961" s="13"/>
    </row>
    <row r="962">
      <c r="A962" s="12"/>
      <c r="B962" s="13"/>
      <c r="C962" s="13"/>
    </row>
    <row r="963">
      <c r="A963" s="12"/>
      <c r="B963" s="13"/>
      <c r="C963" s="13"/>
    </row>
    <row r="964">
      <c r="A964" s="12"/>
      <c r="B964" s="13"/>
      <c r="C964" s="13"/>
    </row>
    <row r="965">
      <c r="A965" s="12"/>
      <c r="B965" s="13"/>
      <c r="C965" s="13"/>
    </row>
    <row r="966">
      <c r="A966" s="12"/>
      <c r="B966" s="13"/>
      <c r="C966" s="13"/>
    </row>
    <row r="967">
      <c r="A967" s="12"/>
      <c r="B967" s="13"/>
      <c r="C967" s="13"/>
    </row>
    <row r="968">
      <c r="A968" s="12"/>
      <c r="B968" s="13"/>
      <c r="C968" s="13"/>
    </row>
    <row r="969">
      <c r="A969" s="12"/>
      <c r="B969" s="13"/>
      <c r="C969" s="13"/>
    </row>
    <row r="970">
      <c r="A970" s="12"/>
      <c r="B970" s="13"/>
      <c r="C970" s="13"/>
    </row>
    <row r="971">
      <c r="A971" s="12"/>
      <c r="B971" s="13"/>
      <c r="C971" s="13"/>
    </row>
    <row r="972">
      <c r="A972" s="12"/>
      <c r="B972" s="13"/>
      <c r="C972" s="13"/>
    </row>
    <row r="973">
      <c r="A973" s="12"/>
      <c r="B973" s="13"/>
      <c r="C973" s="13"/>
    </row>
    <row r="974">
      <c r="A974" s="12"/>
      <c r="B974" s="13"/>
      <c r="C974" s="13"/>
    </row>
    <row r="975">
      <c r="A975" s="12"/>
      <c r="B975" s="13"/>
      <c r="C975" s="13"/>
    </row>
    <row r="976">
      <c r="A976" s="12"/>
      <c r="B976" s="13"/>
      <c r="C976" s="13"/>
    </row>
    <row r="977">
      <c r="A977" s="12"/>
      <c r="B977" s="13"/>
      <c r="C977" s="13"/>
    </row>
    <row r="978">
      <c r="A978" s="12"/>
      <c r="B978" s="13"/>
      <c r="C978" s="13"/>
    </row>
    <row r="979">
      <c r="A979" s="12"/>
      <c r="B979" s="13"/>
      <c r="C979" s="13"/>
    </row>
    <row r="980">
      <c r="A980" s="12"/>
      <c r="B980" s="13"/>
      <c r="C980" s="13"/>
    </row>
    <row r="981">
      <c r="A981" s="12"/>
      <c r="B981" s="13"/>
      <c r="C981" s="13"/>
    </row>
    <row r="982">
      <c r="A982" s="12"/>
      <c r="B982" s="13"/>
      <c r="C982" s="13"/>
    </row>
    <row r="983">
      <c r="A983" s="12"/>
      <c r="B983" s="13"/>
      <c r="C983" s="13"/>
    </row>
    <row r="984">
      <c r="A984" s="12"/>
      <c r="B984" s="13"/>
      <c r="C984" s="13"/>
    </row>
    <row r="985">
      <c r="A985" s="12"/>
      <c r="B985" s="13"/>
      <c r="C985" s="13"/>
    </row>
    <row r="986">
      <c r="A986" s="12"/>
      <c r="B986" s="13"/>
      <c r="C986" s="13"/>
    </row>
    <row r="987">
      <c r="A987" s="12"/>
      <c r="B987" s="13"/>
      <c r="C987" s="13"/>
    </row>
    <row r="988">
      <c r="A988" s="12"/>
      <c r="B988" s="13"/>
      <c r="C988" s="13"/>
    </row>
    <row r="989">
      <c r="A989" s="12"/>
      <c r="B989" s="13"/>
      <c r="C989" s="13"/>
    </row>
    <row r="990">
      <c r="A990" s="12"/>
      <c r="B990" s="13"/>
      <c r="C990" s="13"/>
    </row>
    <row r="991">
      <c r="A991" s="12"/>
      <c r="B991" s="13"/>
      <c r="C991" s="13"/>
    </row>
    <row r="992">
      <c r="A992" s="12"/>
      <c r="B992" s="13"/>
      <c r="C992" s="13"/>
    </row>
    <row r="993">
      <c r="A993" s="12"/>
      <c r="B993" s="13"/>
      <c r="C993" s="13"/>
    </row>
    <row r="994">
      <c r="A994" s="12"/>
      <c r="B994" s="13"/>
      <c r="C994" s="13"/>
    </row>
    <row r="995">
      <c r="A995" s="12"/>
      <c r="B995" s="13"/>
      <c r="C995" s="13"/>
    </row>
    <row r="996">
      <c r="A996" s="12"/>
      <c r="B996" s="13"/>
      <c r="C996" s="13"/>
    </row>
    <row r="997">
      <c r="A997" s="12"/>
      <c r="B997" s="13"/>
      <c r="C997" s="13"/>
    </row>
    <row r="998">
      <c r="A998" s="12"/>
      <c r="B998" s="13"/>
      <c r="C998" s="13"/>
    </row>
    <row r="999">
      <c r="A999" s="12"/>
      <c r="B999" s="13"/>
      <c r="C999" s="13"/>
    </row>
  </sheetData>
  <autoFilter ref="$A$2:$B$88"/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85 A89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SUM(J3:J999)</f>
        <v>39591.64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50</v>
      </c>
      <c r="B3" s="8">
        <v>350.0</v>
      </c>
      <c r="C3" s="8"/>
      <c r="D3" s="33"/>
      <c r="E3" s="1" t="s">
        <v>34</v>
      </c>
      <c r="F3" s="8">
        <v>9489.0</v>
      </c>
      <c r="H3" s="2">
        <f>Zbiorczy!D33</f>
        <v>102486.67</v>
      </c>
      <c r="J3" s="3">
        <f t="shared" ref="J3:J7" si="1">SUMIF($A$3:A$98, K3, B$3:B$98)</f>
        <v>2100</v>
      </c>
      <c r="K3" s="1" t="s">
        <v>35</v>
      </c>
      <c r="M3" s="3">
        <f t="shared" ref="M3:M7" si="2">SUMIF($A$3:A$98, N3, B$3:B$98)</f>
        <v>2086.65</v>
      </c>
      <c r="N3" s="1" t="s">
        <v>36</v>
      </c>
    </row>
    <row r="4">
      <c r="A4" s="1" t="s">
        <v>58</v>
      </c>
      <c r="B4" s="8">
        <v>228.0</v>
      </c>
      <c r="C4" s="8" t="s">
        <v>782</v>
      </c>
      <c r="D4" s="33"/>
      <c r="F4" s="8"/>
      <c r="J4" s="3">
        <f t="shared" si="1"/>
        <v>985</v>
      </c>
      <c r="K4" s="1" t="s">
        <v>40</v>
      </c>
      <c r="M4" s="3">
        <f t="shared" si="2"/>
        <v>183</v>
      </c>
      <c r="N4" s="1" t="s">
        <v>41</v>
      </c>
    </row>
    <row r="5">
      <c r="A5" s="1" t="s">
        <v>47</v>
      </c>
      <c r="B5" s="8">
        <v>2434.67</v>
      </c>
      <c r="C5" s="8"/>
      <c r="D5" s="35"/>
      <c r="J5" s="3">
        <f t="shared" si="1"/>
        <v>1351</v>
      </c>
      <c r="K5" s="1" t="s">
        <v>46</v>
      </c>
      <c r="M5" s="3">
        <f t="shared" si="2"/>
        <v>2521.67</v>
      </c>
      <c r="N5" s="1" t="s">
        <v>47</v>
      </c>
    </row>
    <row r="6">
      <c r="A6" s="1" t="s">
        <v>58</v>
      </c>
      <c r="B6" s="8">
        <v>83.0</v>
      </c>
      <c r="C6" s="8" t="s">
        <v>783</v>
      </c>
      <c r="D6" s="35"/>
      <c r="J6" s="3">
        <f t="shared" si="1"/>
        <v>1829</v>
      </c>
      <c r="K6" s="1" t="s">
        <v>50</v>
      </c>
      <c r="M6" s="3">
        <f t="shared" si="2"/>
        <v>961</v>
      </c>
      <c r="N6" s="1" t="s">
        <v>51</v>
      </c>
    </row>
    <row r="7">
      <c r="A7" s="1" t="s">
        <v>50</v>
      </c>
      <c r="B7" s="8">
        <v>1344.0</v>
      </c>
      <c r="C7" s="40"/>
      <c r="D7" s="33"/>
      <c r="J7" s="3">
        <f t="shared" si="1"/>
        <v>0</v>
      </c>
      <c r="K7" s="1" t="s">
        <v>55</v>
      </c>
      <c r="M7" s="3">
        <f t="shared" si="2"/>
        <v>2883</v>
      </c>
      <c r="N7" s="1" t="s">
        <v>56</v>
      </c>
    </row>
    <row r="8">
      <c r="A8" s="1" t="s">
        <v>51</v>
      </c>
      <c r="B8" s="8">
        <v>280.0</v>
      </c>
      <c r="D8" s="33"/>
    </row>
    <row r="9">
      <c r="A9" s="1" t="s">
        <v>51</v>
      </c>
      <c r="B9" s="8">
        <v>270.0</v>
      </c>
      <c r="C9" s="8"/>
      <c r="D9" s="33"/>
    </row>
    <row r="10">
      <c r="A10" s="1" t="s">
        <v>73</v>
      </c>
      <c r="B10" s="8">
        <v>150.0</v>
      </c>
      <c r="C10" s="8" t="s">
        <v>1179</v>
      </c>
      <c r="D10" s="35"/>
    </row>
    <row r="11">
      <c r="A11" s="1" t="s">
        <v>36</v>
      </c>
      <c r="B11" s="8">
        <v>233.0</v>
      </c>
      <c r="C11" s="8"/>
      <c r="D11" s="35"/>
    </row>
    <row r="12">
      <c r="A12" s="1" t="s">
        <v>36</v>
      </c>
      <c r="B12" s="8">
        <v>23.0</v>
      </c>
      <c r="C12" s="8"/>
      <c r="D12" s="33"/>
    </row>
    <row r="13">
      <c r="A13" s="1" t="s">
        <v>56</v>
      </c>
      <c r="B13" s="8">
        <v>21.0</v>
      </c>
      <c r="C13" s="8"/>
      <c r="D13" s="33"/>
    </row>
    <row r="14">
      <c r="A14" s="1" t="s">
        <v>41</v>
      </c>
      <c r="B14" s="8">
        <v>25.0</v>
      </c>
      <c r="C14" s="8"/>
      <c r="D14" s="33"/>
    </row>
    <row r="15">
      <c r="A15" s="1" t="s">
        <v>50</v>
      </c>
      <c r="B15" s="8">
        <v>135.0</v>
      </c>
      <c r="C15" s="8"/>
      <c r="D15" s="33"/>
    </row>
    <row r="16">
      <c r="A16" s="1" t="s">
        <v>36</v>
      </c>
      <c r="B16" s="8">
        <v>52.0</v>
      </c>
      <c r="C16" s="8"/>
      <c r="D16" s="33"/>
    </row>
    <row r="17">
      <c r="A17" s="1" t="s">
        <v>41</v>
      </c>
      <c r="B17" s="8">
        <v>22.0</v>
      </c>
      <c r="C17" s="8"/>
      <c r="D17" s="25"/>
    </row>
    <row r="18">
      <c r="A18" s="1" t="s">
        <v>772</v>
      </c>
      <c r="B18" s="8">
        <v>25.0</v>
      </c>
      <c r="C18" s="8"/>
      <c r="D18" s="33"/>
    </row>
    <row r="19">
      <c r="A19" s="1" t="s">
        <v>41</v>
      </c>
      <c r="B19" s="1">
        <v>12.0</v>
      </c>
      <c r="C19" s="8"/>
      <c r="D19" s="33"/>
    </row>
    <row r="20">
      <c r="A20" s="1" t="s">
        <v>772</v>
      </c>
      <c r="B20" s="30">
        <v>24.0</v>
      </c>
      <c r="C20" s="8"/>
      <c r="D20" s="33"/>
    </row>
    <row r="21">
      <c r="A21" s="1" t="s">
        <v>772</v>
      </c>
      <c r="B21" s="8">
        <v>68.0</v>
      </c>
      <c r="C21" s="8"/>
      <c r="D21" s="33"/>
    </row>
    <row r="22">
      <c r="A22" s="1" t="s">
        <v>41</v>
      </c>
      <c r="B22" s="8">
        <v>9.0</v>
      </c>
      <c r="C22" s="8"/>
      <c r="D22" s="33"/>
    </row>
    <row r="23">
      <c r="A23" s="1" t="s">
        <v>56</v>
      </c>
      <c r="B23" s="41">
        <v>200.0</v>
      </c>
      <c r="C23" s="8"/>
      <c r="D23" s="33"/>
    </row>
    <row r="24">
      <c r="A24" s="1" t="s">
        <v>56</v>
      </c>
      <c r="B24" s="8">
        <v>622.0</v>
      </c>
      <c r="C24" s="8" t="s">
        <v>1188</v>
      </c>
      <c r="D24" s="33"/>
    </row>
    <row r="25">
      <c r="A25" s="1" t="s">
        <v>36</v>
      </c>
      <c r="B25" s="8">
        <v>38.0</v>
      </c>
      <c r="C25" s="8"/>
      <c r="D25" s="33"/>
    </row>
    <row r="26">
      <c r="A26" s="1" t="s">
        <v>56</v>
      </c>
      <c r="B26" s="8">
        <v>180.0</v>
      </c>
      <c r="C26" s="8" t="s">
        <v>1189</v>
      </c>
      <c r="D26" s="33"/>
    </row>
    <row r="27">
      <c r="A27" s="1" t="s">
        <v>36</v>
      </c>
      <c r="B27" s="8">
        <v>10.0</v>
      </c>
      <c r="C27" s="8"/>
      <c r="D27" s="33"/>
    </row>
    <row r="28">
      <c r="A28" s="1" t="s">
        <v>41</v>
      </c>
      <c r="B28" s="8">
        <v>20.0</v>
      </c>
      <c r="C28" s="8"/>
      <c r="D28" s="33"/>
    </row>
    <row r="29">
      <c r="A29" s="1" t="s">
        <v>56</v>
      </c>
      <c r="B29" s="30">
        <v>40.0</v>
      </c>
      <c r="C29" s="8"/>
      <c r="D29" s="35"/>
    </row>
    <row r="30">
      <c r="A30" s="1" t="s">
        <v>56</v>
      </c>
      <c r="B30" s="30">
        <v>50.0</v>
      </c>
      <c r="C30" s="8"/>
      <c r="D30" s="33"/>
    </row>
    <row r="31">
      <c r="A31" s="1" t="s">
        <v>36</v>
      </c>
      <c r="B31" s="8">
        <v>20.0</v>
      </c>
      <c r="C31" s="8"/>
      <c r="D31" s="33"/>
    </row>
    <row r="32">
      <c r="A32" s="1" t="s">
        <v>36</v>
      </c>
      <c r="B32" s="8">
        <v>247.0</v>
      </c>
      <c r="C32" s="8"/>
      <c r="D32" s="33"/>
    </row>
    <row r="33">
      <c r="A33" s="1" t="s">
        <v>56</v>
      </c>
      <c r="B33" s="8">
        <v>516.0</v>
      </c>
      <c r="C33" s="8" t="s">
        <v>1190</v>
      </c>
      <c r="D33" s="33"/>
    </row>
    <row r="34">
      <c r="A34" s="1" t="s">
        <v>40</v>
      </c>
      <c r="B34" s="41">
        <v>985.0</v>
      </c>
      <c r="C34" s="8"/>
      <c r="D34" s="33"/>
    </row>
    <row r="35">
      <c r="A35" s="1" t="s">
        <v>46</v>
      </c>
      <c r="B35" s="8">
        <v>1351.0</v>
      </c>
      <c r="C35" s="8"/>
      <c r="D35" s="33"/>
    </row>
    <row r="36">
      <c r="A36" s="1" t="s">
        <v>201</v>
      </c>
      <c r="B36" s="8">
        <v>2100.0</v>
      </c>
      <c r="C36" s="8"/>
      <c r="D36" s="33"/>
    </row>
    <row r="37">
      <c r="A37" s="1" t="s">
        <v>36</v>
      </c>
      <c r="B37" s="8">
        <v>65.15</v>
      </c>
      <c r="C37" s="8"/>
      <c r="D37" s="33"/>
    </row>
    <row r="38">
      <c r="A38" s="1" t="s">
        <v>58</v>
      </c>
      <c r="B38" s="8">
        <v>12.0</v>
      </c>
      <c r="C38" s="8" t="s">
        <v>803</v>
      </c>
      <c r="D38" s="33"/>
    </row>
    <row r="39">
      <c r="A39" s="1" t="s">
        <v>36</v>
      </c>
      <c r="B39" s="8">
        <v>61.5</v>
      </c>
      <c r="C39" s="8" t="s">
        <v>1191</v>
      </c>
      <c r="D39" s="33"/>
    </row>
    <row r="40">
      <c r="A40" s="1" t="s">
        <v>148</v>
      </c>
      <c r="B40" s="8">
        <v>22.0</v>
      </c>
      <c r="C40" s="8"/>
      <c r="D40" s="33"/>
    </row>
    <row r="41">
      <c r="A41" s="1" t="s">
        <v>56</v>
      </c>
      <c r="B41" s="8">
        <v>5.0</v>
      </c>
      <c r="C41" s="8"/>
      <c r="D41" s="33"/>
    </row>
    <row r="42">
      <c r="A42" s="1" t="s">
        <v>36</v>
      </c>
      <c r="B42" s="8">
        <v>17.0</v>
      </c>
      <c r="C42" s="8"/>
      <c r="D42" s="33"/>
    </row>
    <row r="43">
      <c r="A43" s="1" t="s">
        <v>36</v>
      </c>
      <c r="B43" s="8">
        <v>44.0</v>
      </c>
      <c r="C43" s="8"/>
      <c r="D43" s="33"/>
    </row>
    <row r="44">
      <c r="A44" s="1" t="s">
        <v>73</v>
      </c>
      <c r="B44" s="8">
        <v>150.0</v>
      </c>
      <c r="C44" s="8"/>
      <c r="D44" s="33"/>
    </row>
    <row r="45">
      <c r="A45" s="1" t="s">
        <v>41</v>
      </c>
      <c r="B45" s="8">
        <v>14.0</v>
      </c>
      <c r="C45" s="8"/>
      <c r="D45" s="33"/>
    </row>
    <row r="46">
      <c r="A46" s="1" t="s">
        <v>56</v>
      </c>
      <c r="B46" s="8">
        <v>5.0</v>
      </c>
      <c r="C46" s="8"/>
      <c r="D46" s="33"/>
    </row>
    <row r="47">
      <c r="A47" s="1" t="s">
        <v>36</v>
      </c>
      <c r="B47" s="8">
        <v>53.0</v>
      </c>
      <c r="C47" s="8"/>
      <c r="D47" s="33"/>
    </row>
    <row r="48">
      <c r="A48" s="1" t="s">
        <v>36</v>
      </c>
      <c r="B48" s="8">
        <v>216.0</v>
      </c>
      <c r="C48" s="8"/>
      <c r="D48" s="33"/>
    </row>
    <row r="49">
      <c r="A49" s="1" t="s">
        <v>51</v>
      </c>
      <c r="B49" s="8">
        <v>90.0</v>
      </c>
      <c r="C49" s="8"/>
      <c r="D49" s="33"/>
    </row>
    <row r="50">
      <c r="A50" s="1" t="s">
        <v>51</v>
      </c>
      <c r="B50" s="8">
        <v>78.0</v>
      </c>
      <c r="C50" s="8"/>
      <c r="D50" s="33"/>
    </row>
    <row r="51">
      <c r="A51" s="1" t="s">
        <v>36</v>
      </c>
      <c r="B51" s="8">
        <v>64.0</v>
      </c>
      <c r="C51" s="8"/>
      <c r="D51" s="33"/>
    </row>
    <row r="52">
      <c r="A52" s="1" t="s">
        <v>56</v>
      </c>
      <c r="B52" s="8">
        <v>600.0</v>
      </c>
      <c r="C52" s="8" t="s">
        <v>777</v>
      </c>
      <c r="D52" s="33"/>
    </row>
    <row r="53">
      <c r="A53" s="1" t="s">
        <v>51</v>
      </c>
      <c r="B53" s="8">
        <v>243.0</v>
      </c>
      <c r="C53" s="8"/>
      <c r="D53" s="33"/>
    </row>
    <row r="54">
      <c r="A54" s="1" t="s">
        <v>58</v>
      </c>
      <c r="B54" s="8">
        <v>290.0</v>
      </c>
      <c r="C54" s="8"/>
      <c r="D54" s="33"/>
    </row>
    <row r="55">
      <c r="A55" s="1" t="s">
        <v>36</v>
      </c>
      <c r="B55" s="8">
        <v>32.0</v>
      </c>
      <c r="C55" s="8"/>
      <c r="D55" s="33"/>
    </row>
    <row r="56">
      <c r="A56" s="1" t="s">
        <v>36</v>
      </c>
      <c r="B56" s="8">
        <v>66.0</v>
      </c>
      <c r="C56" s="8"/>
      <c r="D56" s="33"/>
    </row>
    <row r="57">
      <c r="A57" s="1" t="s">
        <v>36</v>
      </c>
      <c r="B57" s="8">
        <v>114.0</v>
      </c>
      <c r="C57" s="8"/>
      <c r="D57" s="33"/>
    </row>
    <row r="58">
      <c r="A58" s="1" t="s">
        <v>36</v>
      </c>
      <c r="B58" s="8">
        <v>27.0</v>
      </c>
      <c r="C58" s="8" t="s">
        <v>1192</v>
      </c>
      <c r="D58" s="33"/>
    </row>
    <row r="59">
      <c r="A59" s="1" t="s">
        <v>56</v>
      </c>
      <c r="B59" s="8">
        <v>110.0</v>
      </c>
      <c r="C59" s="8" t="s">
        <v>1193</v>
      </c>
      <c r="D59" s="33"/>
    </row>
    <row r="60">
      <c r="A60" s="1" t="s">
        <v>56</v>
      </c>
      <c r="B60" s="8">
        <v>11.0</v>
      </c>
      <c r="C60" s="8"/>
      <c r="D60" s="33"/>
    </row>
    <row r="61">
      <c r="A61" s="1" t="s">
        <v>36</v>
      </c>
      <c r="B61" s="8">
        <v>110.0</v>
      </c>
      <c r="C61" s="8"/>
      <c r="D61" s="33"/>
    </row>
    <row r="62">
      <c r="A62" s="1" t="s">
        <v>36</v>
      </c>
      <c r="B62" s="8">
        <v>64.0</v>
      </c>
      <c r="C62" s="8"/>
      <c r="D62" s="33"/>
    </row>
    <row r="63">
      <c r="A63" s="1" t="s">
        <v>148</v>
      </c>
      <c r="B63" s="8">
        <v>46.0</v>
      </c>
      <c r="C63" s="8"/>
      <c r="D63" s="33"/>
    </row>
    <row r="64">
      <c r="A64" s="1" t="s">
        <v>42</v>
      </c>
      <c r="B64" s="8">
        <v>195.0</v>
      </c>
      <c r="C64" s="8"/>
      <c r="D64" s="33"/>
    </row>
    <row r="65">
      <c r="A65" s="1" t="s">
        <v>36</v>
      </c>
      <c r="B65" s="8">
        <v>20.0</v>
      </c>
      <c r="C65" s="8"/>
      <c r="D65" s="33"/>
    </row>
    <row r="66">
      <c r="A66" s="1" t="s">
        <v>56</v>
      </c>
      <c r="B66" s="8">
        <v>60.0</v>
      </c>
      <c r="C66" s="8" t="s">
        <v>1194</v>
      </c>
      <c r="D66" s="33"/>
    </row>
    <row r="67">
      <c r="A67" s="1" t="s">
        <v>47</v>
      </c>
      <c r="B67" s="8">
        <v>16.0</v>
      </c>
      <c r="C67" s="8"/>
      <c r="D67" s="33"/>
    </row>
    <row r="68">
      <c r="A68" s="1" t="s">
        <v>47</v>
      </c>
      <c r="B68" s="8">
        <v>23.0</v>
      </c>
      <c r="C68" s="8"/>
      <c r="D68" s="33"/>
    </row>
    <row r="69">
      <c r="A69" s="1" t="s">
        <v>41</v>
      </c>
      <c r="B69" s="8">
        <v>4.0</v>
      </c>
      <c r="C69" s="8"/>
      <c r="D69" s="33"/>
    </row>
    <row r="70">
      <c r="A70" s="1" t="s">
        <v>56</v>
      </c>
      <c r="B70" s="8">
        <v>90.0</v>
      </c>
      <c r="C70" s="8" t="s">
        <v>1195</v>
      </c>
      <c r="D70" s="35"/>
    </row>
    <row r="71">
      <c r="A71" s="1" t="s">
        <v>36</v>
      </c>
      <c r="B71" s="8">
        <v>15.0</v>
      </c>
      <c r="C71" s="8"/>
      <c r="D71" s="33"/>
    </row>
    <row r="72">
      <c r="A72" s="1" t="s">
        <v>73</v>
      </c>
      <c r="B72" s="8">
        <v>300.0</v>
      </c>
      <c r="C72" s="8"/>
      <c r="D72" s="33"/>
    </row>
    <row r="73">
      <c r="A73" s="1" t="s">
        <v>42</v>
      </c>
      <c r="B73" s="8">
        <v>30.0</v>
      </c>
      <c r="C73" s="8"/>
      <c r="D73" s="33"/>
    </row>
    <row r="74">
      <c r="A74" s="1" t="s">
        <v>56</v>
      </c>
      <c r="B74" s="8">
        <v>14.0</v>
      </c>
      <c r="C74" s="8"/>
      <c r="D74" s="33"/>
    </row>
    <row r="75">
      <c r="A75" s="1" t="s">
        <v>56</v>
      </c>
      <c r="B75" s="8">
        <v>40.0</v>
      </c>
      <c r="C75" s="8"/>
      <c r="D75" s="33"/>
    </row>
    <row r="76">
      <c r="A76" s="1" t="s">
        <v>307</v>
      </c>
      <c r="B76" s="8">
        <v>80.0</v>
      </c>
      <c r="C76" s="8" t="s">
        <v>813</v>
      </c>
      <c r="D76" s="25"/>
    </row>
    <row r="77">
      <c r="A77" s="1" t="s">
        <v>36</v>
      </c>
      <c r="B77" s="8">
        <v>156.0</v>
      </c>
      <c r="C77" s="8"/>
      <c r="D77" s="25"/>
    </row>
    <row r="78">
      <c r="A78" s="1" t="s">
        <v>41</v>
      </c>
      <c r="B78" s="8">
        <v>11.0</v>
      </c>
      <c r="C78" s="8"/>
      <c r="D78" s="25"/>
    </row>
    <row r="79">
      <c r="A79" s="1" t="s">
        <v>36</v>
      </c>
      <c r="B79" s="8">
        <v>150.0</v>
      </c>
      <c r="C79" s="8"/>
      <c r="D79" s="25"/>
    </row>
    <row r="80">
      <c r="A80" s="1" t="s">
        <v>36</v>
      </c>
      <c r="B80" s="8">
        <v>27.0</v>
      </c>
      <c r="C80" s="8" t="s">
        <v>1192</v>
      </c>
      <c r="D80" s="25"/>
    </row>
    <row r="81">
      <c r="A81" s="1" t="s">
        <v>56</v>
      </c>
      <c r="B81" s="8">
        <v>40.0</v>
      </c>
      <c r="C81" s="8" t="s">
        <v>1138</v>
      </c>
      <c r="D81" s="25"/>
    </row>
    <row r="82">
      <c r="A82" s="1" t="s">
        <v>56</v>
      </c>
      <c r="B82" s="8">
        <v>150.0</v>
      </c>
      <c r="C82" s="8" t="s">
        <v>882</v>
      </c>
      <c r="D82" s="25"/>
    </row>
    <row r="83">
      <c r="A83" s="1" t="s">
        <v>56</v>
      </c>
      <c r="B83" s="8">
        <v>55.0</v>
      </c>
      <c r="C83" s="8" t="s">
        <v>1196</v>
      </c>
      <c r="D83" s="25"/>
    </row>
    <row r="84">
      <c r="A84" s="1" t="s">
        <v>56</v>
      </c>
      <c r="B84" s="8">
        <v>60.0</v>
      </c>
      <c r="C84" s="8"/>
      <c r="D84" s="25"/>
    </row>
    <row r="85">
      <c r="A85" s="1" t="s">
        <v>47</v>
      </c>
      <c r="B85" s="8">
        <v>10.0</v>
      </c>
      <c r="C85" s="8"/>
      <c r="D85" s="25"/>
    </row>
    <row r="86">
      <c r="A86" s="1" t="s">
        <v>842</v>
      </c>
      <c r="B86" s="8">
        <v>60.0</v>
      </c>
      <c r="C86" s="8"/>
      <c r="D86" s="25"/>
    </row>
    <row r="87">
      <c r="A87" s="1" t="s">
        <v>47</v>
      </c>
      <c r="B87" s="8">
        <v>20.0</v>
      </c>
      <c r="C87" s="8"/>
      <c r="D87" s="25"/>
    </row>
    <row r="88">
      <c r="A88" s="1" t="s">
        <v>56</v>
      </c>
      <c r="B88" s="8">
        <v>14.0</v>
      </c>
      <c r="C88" s="8"/>
      <c r="D88" s="25"/>
    </row>
    <row r="89">
      <c r="A89" s="1" t="s">
        <v>47</v>
      </c>
      <c r="B89" s="8">
        <v>18.0</v>
      </c>
      <c r="C89" s="2"/>
      <c r="D89" s="25"/>
    </row>
    <row r="90">
      <c r="A90" s="1" t="s">
        <v>41</v>
      </c>
      <c r="B90" s="8">
        <v>19.0</v>
      </c>
      <c r="C90" s="8"/>
      <c r="D90" s="25"/>
    </row>
    <row r="91">
      <c r="A91" s="1" t="s">
        <v>41</v>
      </c>
      <c r="B91" s="8">
        <v>47.0</v>
      </c>
      <c r="C91" s="8"/>
      <c r="D91" s="25"/>
    </row>
    <row r="92">
      <c r="A92" s="1" t="s">
        <v>36</v>
      </c>
      <c r="B92" s="8">
        <v>162.0</v>
      </c>
      <c r="C92" s="2"/>
      <c r="D92" s="25"/>
    </row>
    <row r="93">
      <c r="A93" s="3"/>
      <c r="B93" s="8"/>
      <c r="C93" s="2"/>
      <c r="D93" s="25"/>
    </row>
    <row r="94">
      <c r="A94" s="3"/>
      <c r="B94" s="8"/>
      <c r="C94" s="8"/>
      <c r="D94" s="25"/>
    </row>
    <row r="95">
      <c r="A95" s="3"/>
      <c r="B95" s="8"/>
      <c r="C95" s="2"/>
      <c r="D95" s="25"/>
    </row>
    <row r="96">
      <c r="A96" s="3"/>
      <c r="B96" s="8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</sheetData>
  <autoFilter ref="$A$2:$B$92"/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SUM(J3:J999)</f>
        <v>18236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50</v>
      </c>
      <c r="B3" s="8">
        <v>350.0</v>
      </c>
      <c r="C3" s="8"/>
      <c r="D3" s="33"/>
      <c r="E3" s="1" t="s">
        <v>34</v>
      </c>
      <c r="F3" s="8">
        <v>30996.0</v>
      </c>
      <c r="H3" s="2">
        <f>Zbiorczy!D32</f>
        <v>99889</v>
      </c>
      <c r="J3" s="3">
        <f t="shared" ref="J3:J7" si="1">SUMIF($A$3:A$98, K3, B$3:B$98)</f>
        <v>1850</v>
      </c>
      <c r="K3" s="1" t="s">
        <v>35</v>
      </c>
      <c r="M3" s="3">
        <f t="shared" ref="M3:M8" si="2">SUMIF($A$3:A$98, N3, B$3:B$98)</f>
        <v>233</v>
      </c>
      <c r="N3" s="1" t="s">
        <v>36</v>
      </c>
    </row>
    <row r="4">
      <c r="A4" s="1" t="s">
        <v>50</v>
      </c>
      <c r="B4" s="8">
        <v>90.0</v>
      </c>
      <c r="C4" s="8"/>
      <c r="D4" s="33"/>
      <c r="F4" s="8"/>
      <c r="J4" s="3">
        <f t="shared" si="1"/>
        <v>4152</v>
      </c>
      <c r="K4" s="1" t="s">
        <v>40</v>
      </c>
      <c r="M4" s="3">
        <f t="shared" si="2"/>
        <v>15</v>
      </c>
      <c r="N4" s="1" t="s">
        <v>41</v>
      </c>
    </row>
    <row r="5">
      <c r="A5" s="1" t="s">
        <v>47</v>
      </c>
      <c r="B5" s="8">
        <v>2500.0</v>
      </c>
      <c r="C5" s="8"/>
      <c r="D5" s="35"/>
      <c r="J5" s="3">
        <f t="shared" si="1"/>
        <v>9400</v>
      </c>
      <c r="K5" s="1" t="s">
        <v>46</v>
      </c>
      <c r="M5" s="3">
        <f t="shared" si="2"/>
        <v>2500</v>
      </c>
      <c r="N5" s="1" t="s">
        <v>47</v>
      </c>
    </row>
    <row r="6">
      <c r="A6" s="1" t="s">
        <v>56</v>
      </c>
      <c r="B6" s="8">
        <v>89.0</v>
      </c>
      <c r="C6" s="8"/>
      <c r="D6" s="35"/>
      <c r="J6" s="3">
        <f t="shared" si="1"/>
        <v>2064</v>
      </c>
      <c r="K6" s="1" t="s">
        <v>50</v>
      </c>
      <c r="M6" s="3">
        <f t="shared" si="2"/>
        <v>663</v>
      </c>
      <c r="N6" s="1" t="s">
        <v>51</v>
      </c>
    </row>
    <row r="7">
      <c r="A7" s="1" t="s">
        <v>50</v>
      </c>
      <c r="B7" s="8">
        <v>1174.0</v>
      </c>
      <c r="C7" s="40"/>
      <c r="D7" s="33"/>
      <c r="J7" s="3">
        <f t="shared" si="1"/>
        <v>770</v>
      </c>
      <c r="K7" s="1" t="s">
        <v>55</v>
      </c>
      <c r="M7" s="3">
        <f t="shared" si="2"/>
        <v>5743.33</v>
      </c>
      <c r="N7" s="1" t="s">
        <v>56</v>
      </c>
    </row>
    <row r="8">
      <c r="A8" s="1" t="s">
        <v>51</v>
      </c>
      <c r="B8" s="8">
        <v>152.0</v>
      </c>
      <c r="D8" s="33"/>
      <c r="M8" s="3">
        <f t="shared" si="2"/>
        <v>2500</v>
      </c>
      <c r="N8" s="1" t="s">
        <v>47</v>
      </c>
    </row>
    <row r="9">
      <c r="A9" s="1" t="s">
        <v>58</v>
      </c>
      <c r="B9" s="8">
        <v>19.0</v>
      </c>
      <c r="C9" s="8"/>
      <c r="D9" s="33"/>
    </row>
    <row r="10">
      <c r="A10" s="1" t="s">
        <v>51</v>
      </c>
      <c r="B10" s="8">
        <v>151.0</v>
      </c>
      <c r="C10" s="8"/>
      <c r="D10" s="35"/>
    </row>
    <row r="11">
      <c r="A11" s="1" t="s">
        <v>58</v>
      </c>
      <c r="B11" s="8">
        <v>83.0</v>
      </c>
      <c r="C11" s="8" t="s">
        <v>783</v>
      </c>
      <c r="D11" s="35"/>
    </row>
    <row r="12">
      <c r="A12" s="1" t="s">
        <v>58</v>
      </c>
      <c r="B12" s="8">
        <v>234.0</v>
      </c>
      <c r="C12" s="8" t="s">
        <v>782</v>
      </c>
      <c r="D12" s="33"/>
    </row>
    <row r="13">
      <c r="A13" s="1" t="s">
        <v>46</v>
      </c>
      <c r="B13" s="8">
        <v>9400.0</v>
      </c>
      <c r="C13" s="8"/>
      <c r="D13" s="33"/>
    </row>
    <row r="14">
      <c r="A14" s="1" t="s">
        <v>40</v>
      </c>
      <c r="B14" s="8">
        <v>4140.0</v>
      </c>
      <c r="C14" s="8"/>
      <c r="D14" s="33"/>
    </row>
    <row r="15">
      <c r="A15" s="1" t="s">
        <v>40</v>
      </c>
      <c r="B15" s="8">
        <v>12.0</v>
      </c>
      <c r="C15" s="8"/>
      <c r="D15" s="33"/>
    </row>
    <row r="16">
      <c r="A16" s="1" t="s">
        <v>201</v>
      </c>
      <c r="B16" s="8">
        <v>1850.0</v>
      </c>
      <c r="C16" s="8"/>
      <c r="D16" s="33"/>
    </row>
    <row r="17">
      <c r="A17" s="1" t="s">
        <v>51</v>
      </c>
      <c r="B17" s="8">
        <v>280.0</v>
      </c>
      <c r="C17" s="8"/>
      <c r="D17" s="25"/>
    </row>
    <row r="18">
      <c r="A18" s="1" t="s">
        <v>58</v>
      </c>
      <c r="B18" s="8">
        <v>290.0</v>
      </c>
      <c r="C18" s="8"/>
      <c r="D18" s="33"/>
    </row>
    <row r="19">
      <c r="A19" s="1" t="s">
        <v>36</v>
      </c>
      <c r="B19" s="1">
        <v>30.0</v>
      </c>
      <c r="C19" s="8"/>
      <c r="D19" s="33"/>
    </row>
    <row r="20">
      <c r="A20" s="1" t="s">
        <v>80</v>
      </c>
      <c r="B20" s="30">
        <v>37.0</v>
      </c>
      <c r="C20" s="8"/>
      <c r="D20" s="33"/>
    </row>
    <row r="21">
      <c r="A21" s="1" t="s">
        <v>56</v>
      </c>
      <c r="B21" s="8">
        <v>300.0</v>
      </c>
      <c r="C21" s="8" t="s">
        <v>1197</v>
      </c>
      <c r="D21" s="33"/>
    </row>
    <row r="22">
      <c r="A22" s="1" t="s">
        <v>36</v>
      </c>
      <c r="B22" s="8">
        <v>47.0</v>
      </c>
      <c r="C22" s="8"/>
      <c r="D22" s="33"/>
    </row>
    <row r="23">
      <c r="A23" s="1" t="s">
        <v>56</v>
      </c>
      <c r="B23" s="41">
        <v>26.0</v>
      </c>
      <c r="C23" s="8" t="s">
        <v>1197</v>
      </c>
      <c r="D23" s="33"/>
    </row>
    <row r="24">
      <c r="A24" s="1" t="s">
        <v>56</v>
      </c>
      <c r="B24" s="8">
        <v>226.0</v>
      </c>
      <c r="C24" s="8"/>
      <c r="D24" s="33"/>
    </row>
    <row r="25">
      <c r="A25" s="1" t="s">
        <v>56</v>
      </c>
      <c r="B25" s="8">
        <v>26.0</v>
      </c>
      <c r="C25" s="8"/>
      <c r="D25" s="33"/>
    </row>
    <row r="26">
      <c r="A26" s="1" t="s">
        <v>50</v>
      </c>
      <c r="B26" s="8">
        <v>350.0</v>
      </c>
      <c r="C26" s="8"/>
      <c r="D26" s="33"/>
    </row>
    <row r="27">
      <c r="A27" s="1" t="s">
        <v>56</v>
      </c>
      <c r="B27" s="8">
        <v>2000.0</v>
      </c>
      <c r="C27" s="8" t="s">
        <v>1197</v>
      </c>
      <c r="D27" s="33"/>
    </row>
    <row r="28">
      <c r="A28" s="1" t="s">
        <v>148</v>
      </c>
      <c r="B28" s="8">
        <v>88.0</v>
      </c>
      <c r="C28" s="8"/>
      <c r="D28" s="33"/>
    </row>
    <row r="29">
      <c r="A29" s="1" t="s">
        <v>56</v>
      </c>
      <c r="B29" s="30">
        <v>89.0</v>
      </c>
      <c r="C29" s="8" t="s">
        <v>869</v>
      </c>
      <c r="D29" s="35"/>
    </row>
    <row r="30">
      <c r="A30" s="1" t="s">
        <v>56</v>
      </c>
      <c r="B30" s="30">
        <v>280.0</v>
      </c>
      <c r="C30" s="8" t="s">
        <v>1198</v>
      </c>
      <c r="D30" s="33"/>
    </row>
    <row r="31">
      <c r="A31" s="1" t="s">
        <v>56</v>
      </c>
      <c r="B31" s="8">
        <v>8.0</v>
      </c>
      <c r="C31" s="8"/>
      <c r="D31" s="33"/>
    </row>
    <row r="32">
      <c r="A32" s="1" t="s">
        <v>51</v>
      </c>
      <c r="B32" s="8">
        <v>80.0</v>
      </c>
      <c r="C32" s="8"/>
      <c r="D32" s="33"/>
    </row>
    <row r="33">
      <c r="A33" s="1" t="s">
        <v>55</v>
      </c>
      <c r="B33" s="8">
        <v>230.0</v>
      </c>
      <c r="C33" s="8"/>
      <c r="D33" s="33"/>
    </row>
    <row r="34">
      <c r="A34" s="1" t="s">
        <v>55</v>
      </c>
      <c r="B34" s="41">
        <v>540.0</v>
      </c>
      <c r="C34" s="8"/>
      <c r="D34" s="33"/>
    </row>
    <row r="35">
      <c r="A35" s="1" t="s">
        <v>50</v>
      </c>
      <c r="B35" s="8">
        <v>100.0</v>
      </c>
      <c r="C35" s="8"/>
      <c r="D35" s="33"/>
    </row>
    <row r="36">
      <c r="A36" s="1" t="s">
        <v>58</v>
      </c>
      <c r="B36" s="8">
        <v>11.0</v>
      </c>
      <c r="C36" s="8"/>
      <c r="D36" s="33"/>
    </row>
    <row r="37">
      <c r="A37" s="1" t="s">
        <v>56</v>
      </c>
      <c r="B37" s="8">
        <v>56.0</v>
      </c>
      <c r="C37" s="8" t="s">
        <v>1062</v>
      </c>
      <c r="D37" s="33"/>
    </row>
    <row r="38">
      <c r="A38" s="1" t="s">
        <v>56</v>
      </c>
      <c r="B38" s="8">
        <v>60.0</v>
      </c>
      <c r="C38" s="8" t="s">
        <v>1199</v>
      </c>
      <c r="D38" s="33"/>
    </row>
    <row r="39">
      <c r="A39" s="1" t="s">
        <v>36</v>
      </c>
      <c r="B39" s="8">
        <v>80.0</v>
      </c>
      <c r="C39" s="8"/>
      <c r="D39" s="33"/>
    </row>
    <row r="40">
      <c r="A40" s="1" t="s">
        <v>36</v>
      </c>
      <c r="B40" s="8">
        <v>76.0</v>
      </c>
      <c r="C40" s="8" t="s">
        <v>1191</v>
      </c>
      <c r="D40" s="33"/>
    </row>
    <row r="41">
      <c r="A41" s="1" t="s">
        <v>41</v>
      </c>
      <c r="B41" s="8">
        <v>15.0</v>
      </c>
      <c r="C41" s="8"/>
      <c r="D41" s="33"/>
    </row>
    <row r="42">
      <c r="A42" s="1" t="s">
        <v>307</v>
      </c>
      <c r="B42" s="8">
        <v>70.0</v>
      </c>
      <c r="C42" s="8"/>
      <c r="D42" s="33"/>
    </row>
    <row r="43">
      <c r="A43" s="1" t="s">
        <v>42</v>
      </c>
      <c r="B43" s="8">
        <v>176.0</v>
      </c>
      <c r="C43" s="8"/>
      <c r="D43" s="33"/>
    </row>
    <row r="44">
      <c r="A44" s="1" t="s">
        <v>56</v>
      </c>
      <c r="B44" s="8">
        <v>2583.33</v>
      </c>
      <c r="C44" s="8" t="s">
        <v>1197</v>
      </c>
      <c r="D44" s="33"/>
    </row>
    <row r="45">
      <c r="A45" s="3"/>
      <c r="B45" s="8"/>
      <c r="C45" s="8"/>
      <c r="D45" s="33"/>
    </row>
    <row r="46">
      <c r="A46" s="3"/>
      <c r="B46" s="8"/>
      <c r="C46" s="8"/>
      <c r="D46" s="33"/>
    </row>
    <row r="47">
      <c r="A47" s="3"/>
      <c r="B47" s="8"/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5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3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25"/>
    </row>
    <row r="77">
      <c r="A77" s="3"/>
      <c r="B77" s="8"/>
      <c r="C77" s="8"/>
      <c r="D77" s="25"/>
    </row>
    <row r="78">
      <c r="A78" s="3"/>
      <c r="B78" s="8"/>
      <c r="C78" s="8"/>
      <c r="D78" s="25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8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8"/>
      <c r="C88" s="8"/>
      <c r="D88" s="25"/>
    </row>
    <row r="89">
      <c r="A89" s="3"/>
      <c r="B89" s="8"/>
      <c r="C89" s="2"/>
      <c r="D89" s="25"/>
    </row>
    <row r="90">
      <c r="A90" s="3"/>
      <c r="B90" s="8"/>
      <c r="C90" s="8"/>
      <c r="D90" s="25"/>
    </row>
    <row r="91">
      <c r="A91" s="3"/>
      <c r="B91" s="8"/>
      <c r="C91" s="8"/>
      <c r="D91" s="25"/>
    </row>
    <row r="92">
      <c r="A92" s="3"/>
      <c r="B92" s="8"/>
      <c r="C92" s="2"/>
      <c r="D92" s="25"/>
    </row>
    <row r="93">
      <c r="A93" s="3"/>
      <c r="B93" s="8"/>
      <c r="C93" s="2"/>
      <c r="D93" s="25"/>
    </row>
    <row r="94">
      <c r="A94" s="3"/>
      <c r="B94" s="8"/>
      <c r="C94" s="8"/>
      <c r="D94" s="25"/>
    </row>
    <row r="95">
      <c r="A95" s="3"/>
      <c r="B95" s="8"/>
      <c r="C95" s="2"/>
      <c r="D95" s="25"/>
    </row>
    <row r="96">
      <c r="A96" s="3"/>
      <c r="B96" s="8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</sheetData>
  <customSheetViews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  <customSheetView guid="{E969E989-0C31-444B-8C15-CA7195A654B3}" filter="1" showAutoFilter="1">
      <autoFilter ref="$G$14"/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SUM(J3:J999)</f>
        <v>11091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51</v>
      </c>
      <c r="B3" s="8">
        <v>238.0</v>
      </c>
      <c r="C3" s="8"/>
      <c r="D3" s="33"/>
      <c r="E3" s="1" t="s">
        <v>34</v>
      </c>
      <c r="F3" s="8">
        <v>31632.0</v>
      </c>
      <c r="H3" s="2">
        <f>Zbiorczy!D31</f>
        <v>70560</v>
      </c>
      <c r="J3" s="3">
        <f t="shared" ref="J3:J7" si="1">SUMIF($A$3:A$98, K3, B$3:B$98)</f>
        <v>1830</v>
      </c>
      <c r="K3" s="1" t="s">
        <v>35</v>
      </c>
      <c r="M3" s="3">
        <f t="shared" ref="M3:M8" si="2">SUMIF($A$3:A$98, N3, B$3:B$98)</f>
        <v>1643</v>
      </c>
      <c r="N3" s="1" t="s">
        <v>36</v>
      </c>
    </row>
    <row r="4">
      <c r="A4" s="1" t="s">
        <v>41</v>
      </c>
      <c r="B4" s="8">
        <v>26.0</v>
      </c>
      <c r="C4" s="8"/>
      <c r="D4" s="33"/>
      <c r="E4" s="1" t="s">
        <v>1200</v>
      </c>
      <c r="F4" s="8">
        <v>22300.0</v>
      </c>
      <c r="J4" s="3">
        <f t="shared" si="1"/>
        <v>3201</v>
      </c>
      <c r="K4" s="1" t="s">
        <v>40</v>
      </c>
      <c r="M4" s="3">
        <f t="shared" si="2"/>
        <v>125</v>
      </c>
      <c r="N4" s="1" t="s">
        <v>41</v>
      </c>
    </row>
    <row r="5">
      <c r="A5" s="1" t="s">
        <v>56</v>
      </c>
      <c r="B5" s="8">
        <v>40.0</v>
      </c>
      <c r="C5" s="8"/>
      <c r="D5" s="35"/>
      <c r="J5" s="3">
        <f t="shared" si="1"/>
        <v>4148</v>
      </c>
      <c r="K5" s="1" t="s">
        <v>46</v>
      </c>
      <c r="M5" s="3">
        <f t="shared" si="2"/>
        <v>3985</v>
      </c>
      <c r="N5" s="1" t="s">
        <v>47</v>
      </c>
    </row>
    <row r="6">
      <c r="A6" s="1" t="s">
        <v>50</v>
      </c>
      <c r="B6" s="8">
        <v>1200.0</v>
      </c>
      <c r="C6" s="8"/>
      <c r="D6" s="35"/>
      <c r="J6" s="3">
        <f t="shared" si="1"/>
        <v>1912</v>
      </c>
      <c r="K6" s="1" t="s">
        <v>50</v>
      </c>
      <c r="M6" s="3">
        <f t="shared" si="2"/>
        <v>1419</v>
      </c>
      <c r="N6" s="1" t="s">
        <v>51</v>
      </c>
    </row>
    <row r="7">
      <c r="A7" s="1" t="s">
        <v>50</v>
      </c>
      <c r="B7" s="8">
        <v>350.0</v>
      </c>
      <c r="C7" s="40"/>
      <c r="D7" s="33"/>
      <c r="J7" s="3">
        <f t="shared" si="1"/>
        <v>0</v>
      </c>
      <c r="K7" s="1" t="s">
        <v>55</v>
      </c>
      <c r="M7" s="3">
        <f t="shared" si="2"/>
        <v>2880</v>
      </c>
      <c r="N7" s="1" t="s">
        <v>56</v>
      </c>
    </row>
    <row r="8">
      <c r="A8" s="1" t="s">
        <v>36</v>
      </c>
      <c r="B8" s="8">
        <v>170.0</v>
      </c>
      <c r="D8" s="33"/>
      <c r="M8" s="3">
        <f t="shared" si="2"/>
        <v>3985</v>
      </c>
      <c r="N8" s="1" t="s">
        <v>47</v>
      </c>
    </row>
    <row r="9">
      <c r="A9" s="1" t="s">
        <v>47</v>
      </c>
      <c r="B9" s="8">
        <v>70.0</v>
      </c>
      <c r="C9" s="8"/>
      <c r="D9" s="33"/>
    </row>
    <row r="10">
      <c r="A10" s="1" t="s">
        <v>47</v>
      </c>
      <c r="B10" s="8">
        <v>2450.0</v>
      </c>
      <c r="C10" s="8"/>
      <c r="D10" s="35"/>
    </row>
    <row r="11">
      <c r="A11" s="1" t="s">
        <v>42</v>
      </c>
      <c r="B11" s="8">
        <v>170.0</v>
      </c>
      <c r="C11" s="8"/>
      <c r="D11" s="35"/>
    </row>
    <row r="12">
      <c r="A12" s="1" t="s">
        <v>56</v>
      </c>
      <c r="B12" s="8">
        <v>77.0</v>
      </c>
      <c r="C12" s="8" t="s">
        <v>1201</v>
      </c>
      <c r="D12" s="33"/>
    </row>
    <row r="13">
      <c r="A13" s="1" t="s">
        <v>36</v>
      </c>
      <c r="B13" s="8">
        <v>100.0</v>
      </c>
      <c r="C13" s="8"/>
      <c r="D13" s="33"/>
    </row>
    <row r="14">
      <c r="A14" s="1" t="s">
        <v>56</v>
      </c>
      <c r="B14" s="8">
        <v>50.0</v>
      </c>
      <c r="C14" s="8"/>
      <c r="D14" s="33"/>
    </row>
    <row r="15">
      <c r="A15" s="1" t="s">
        <v>58</v>
      </c>
      <c r="B15" s="8">
        <v>240.0</v>
      </c>
      <c r="C15" s="8" t="s">
        <v>815</v>
      </c>
      <c r="D15" s="33"/>
    </row>
    <row r="16">
      <c r="A16" s="1" t="s">
        <v>58</v>
      </c>
      <c r="B16" s="8">
        <v>90.0</v>
      </c>
      <c r="C16" s="8" t="s">
        <v>783</v>
      </c>
      <c r="D16" s="33"/>
    </row>
    <row r="17">
      <c r="A17" s="1" t="s">
        <v>51</v>
      </c>
      <c r="B17" s="8">
        <v>225.0</v>
      </c>
      <c r="C17" s="8"/>
      <c r="D17" s="25"/>
    </row>
    <row r="18">
      <c r="A18" s="1" t="s">
        <v>41</v>
      </c>
      <c r="B18" s="8">
        <v>35.0</v>
      </c>
      <c r="C18" s="8"/>
      <c r="D18" s="33"/>
    </row>
    <row r="19">
      <c r="A19" s="1" t="s">
        <v>50</v>
      </c>
      <c r="B19" s="1">
        <v>100.0</v>
      </c>
      <c r="C19" s="8"/>
      <c r="D19" s="33"/>
    </row>
    <row r="20">
      <c r="A20" s="1" t="s">
        <v>73</v>
      </c>
      <c r="B20" s="30">
        <v>630.0</v>
      </c>
      <c r="C20" s="8"/>
      <c r="D20" s="33"/>
    </row>
    <row r="21">
      <c r="A21" s="1" t="s">
        <v>36</v>
      </c>
      <c r="B21" s="8">
        <v>100.0</v>
      </c>
      <c r="C21" s="8"/>
      <c r="D21" s="33"/>
    </row>
    <row r="22">
      <c r="A22" s="1" t="s">
        <v>47</v>
      </c>
      <c r="B22" s="8">
        <v>70.0</v>
      </c>
      <c r="C22" s="8"/>
      <c r="D22" s="33"/>
    </row>
    <row r="23">
      <c r="A23" s="1" t="s">
        <v>842</v>
      </c>
      <c r="B23" s="41">
        <v>16.0</v>
      </c>
      <c r="C23" s="8"/>
      <c r="D23" s="33"/>
    </row>
    <row r="24">
      <c r="A24" s="1" t="s">
        <v>47</v>
      </c>
      <c r="B24" s="8">
        <v>450.0</v>
      </c>
      <c r="C24" s="8"/>
      <c r="D24" s="33"/>
    </row>
    <row r="25">
      <c r="A25" s="1" t="s">
        <v>56</v>
      </c>
      <c r="B25" s="8">
        <v>48.0</v>
      </c>
      <c r="C25" s="8"/>
      <c r="D25" s="33"/>
    </row>
    <row r="26">
      <c r="A26" s="1" t="s">
        <v>36</v>
      </c>
      <c r="B26" s="8">
        <v>50.0</v>
      </c>
      <c r="C26" s="8"/>
      <c r="D26" s="33"/>
    </row>
    <row r="27">
      <c r="A27" s="1" t="s">
        <v>36</v>
      </c>
      <c r="B27" s="8">
        <v>53.0</v>
      </c>
      <c r="C27" s="8"/>
      <c r="D27" s="33"/>
    </row>
    <row r="28">
      <c r="A28" s="1" t="s">
        <v>35</v>
      </c>
      <c r="B28" s="8">
        <v>1830.0</v>
      </c>
      <c r="C28" s="8"/>
      <c r="D28" s="33"/>
    </row>
    <row r="29">
      <c r="A29" s="1" t="s">
        <v>46</v>
      </c>
      <c r="B29" s="30">
        <v>4148.0</v>
      </c>
      <c r="C29" s="8"/>
      <c r="D29" s="35"/>
    </row>
    <row r="30">
      <c r="A30" s="1" t="s">
        <v>40</v>
      </c>
      <c r="B30" s="30">
        <v>3201.0</v>
      </c>
      <c r="C30" s="8"/>
      <c r="D30" s="33"/>
    </row>
    <row r="31">
      <c r="A31" s="1" t="s">
        <v>47</v>
      </c>
      <c r="B31" s="8">
        <v>470.0</v>
      </c>
      <c r="C31" s="8"/>
      <c r="D31" s="33"/>
    </row>
    <row r="32">
      <c r="A32" s="1" t="s">
        <v>51</v>
      </c>
      <c r="B32" s="8">
        <v>260.0</v>
      </c>
      <c r="C32" s="8"/>
      <c r="D32" s="33"/>
    </row>
    <row r="33">
      <c r="A33" s="1" t="s">
        <v>56</v>
      </c>
      <c r="B33" s="8">
        <v>117.0</v>
      </c>
      <c r="C33" s="8"/>
      <c r="D33" s="33"/>
    </row>
    <row r="34">
      <c r="A34" s="1" t="s">
        <v>36</v>
      </c>
      <c r="B34" s="41">
        <v>220.0</v>
      </c>
      <c r="C34" s="8"/>
      <c r="D34" s="33"/>
    </row>
    <row r="35">
      <c r="A35" s="1" t="s">
        <v>56</v>
      </c>
      <c r="B35" s="8">
        <v>300.0</v>
      </c>
      <c r="C35" s="8"/>
      <c r="D35" s="33"/>
    </row>
    <row r="36">
      <c r="A36" s="1" t="s">
        <v>36</v>
      </c>
      <c r="B36" s="8">
        <v>70.0</v>
      </c>
      <c r="C36" s="8"/>
      <c r="D36" s="33"/>
    </row>
    <row r="37">
      <c r="A37" s="1" t="s">
        <v>73</v>
      </c>
      <c r="B37" s="8">
        <v>350.0</v>
      </c>
      <c r="C37" s="8"/>
      <c r="D37" s="33"/>
    </row>
    <row r="38">
      <c r="A38" s="1" t="s">
        <v>36</v>
      </c>
      <c r="B38" s="8">
        <v>40.0</v>
      </c>
      <c r="C38" s="8"/>
      <c r="D38" s="33"/>
    </row>
    <row r="39">
      <c r="A39" s="1" t="s">
        <v>56</v>
      </c>
      <c r="B39" s="8">
        <v>150.0</v>
      </c>
      <c r="C39" s="8"/>
      <c r="D39" s="33"/>
    </row>
    <row r="40">
      <c r="A40" s="1" t="s">
        <v>56</v>
      </c>
      <c r="B40" s="8">
        <v>50.0</v>
      </c>
      <c r="C40" s="8"/>
      <c r="D40" s="33"/>
    </row>
    <row r="41">
      <c r="A41" s="1" t="s">
        <v>842</v>
      </c>
      <c r="B41" s="8">
        <v>100.0</v>
      </c>
      <c r="C41" s="8"/>
      <c r="D41" s="33"/>
    </row>
    <row r="42">
      <c r="A42" s="1" t="s">
        <v>50</v>
      </c>
      <c r="B42" s="8">
        <v>250.0</v>
      </c>
      <c r="C42" s="8"/>
      <c r="D42" s="33"/>
    </row>
    <row r="43">
      <c r="A43" s="1" t="s">
        <v>56</v>
      </c>
      <c r="B43" s="8">
        <v>100.0</v>
      </c>
      <c r="C43" s="8" t="s">
        <v>845</v>
      </c>
      <c r="D43" s="33"/>
    </row>
    <row r="44">
      <c r="A44" s="1" t="s">
        <v>56</v>
      </c>
      <c r="B44" s="8">
        <v>100.0</v>
      </c>
      <c r="C44" s="8" t="s">
        <v>890</v>
      </c>
      <c r="D44" s="33"/>
    </row>
    <row r="45">
      <c r="A45" s="1" t="s">
        <v>148</v>
      </c>
      <c r="B45" s="8">
        <v>100.0</v>
      </c>
      <c r="C45" s="8"/>
      <c r="D45" s="33"/>
    </row>
    <row r="46">
      <c r="A46" s="1" t="s">
        <v>56</v>
      </c>
      <c r="B46" s="8">
        <v>22.0</v>
      </c>
      <c r="C46" s="8"/>
      <c r="D46" s="33"/>
    </row>
    <row r="47">
      <c r="A47" s="1" t="s">
        <v>36</v>
      </c>
      <c r="B47" s="8">
        <v>160.0</v>
      </c>
      <c r="C47" s="8"/>
      <c r="D47" s="33"/>
    </row>
    <row r="48">
      <c r="A48" s="1" t="s">
        <v>47</v>
      </c>
      <c r="B48" s="8">
        <v>13.0</v>
      </c>
      <c r="C48" s="8"/>
      <c r="D48" s="33"/>
    </row>
    <row r="49">
      <c r="A49" s="1" t="s">
        <v>41</v>
      </c>
      <c r="B49" s="8">
        <v>23.0</v>
      </c>
      <c r="C49" s="8"/>
      <c r="D49" s="33"/>
    </row>
    <row r="50">
      <c r="A50" s="1" t="s">
        <v>36</v>
      </c>
      <c r="B50" s="8">
        <v>60.0</v>
      </c>
      <c r="C50" s="8"/>
      <c r="D50" s="33"/>
    </row>
    <row r="51">
      <c r="A51" s="1" t="s">
        <v>36</v>
      </c>
      <c r="B51" s="8">
        <v>16.0</v>
      </c>
      <c r="C51" s="8"/>
      <c r="D51" s="33"/>
    </row>
    <row r="52">
      <c r="A52" s="1" t="s">
        <v>36</v>
      </c>
      <c r="B52" s="8">
        <v>20.0</v>
      </c>
      <c r="C52" s="8"/>
      <c r="D52" s="33"/>
    </row>
    <row r="53">
      <c r="A53" s="1" t="s">
        <v>41</v>
      </c>
      <c r="B53" s="8">
        <v>13.0</v>
      </c>
      <c r="C53" s="8"/>
      <c r="D53" s="33"/>
    </row>
    <row r="54">
      <c r="A54" s="1" t="s">
        <v>56</v>
      </c>
      <c r="B54" s="8">
        <v>32.0</v>
      </c>
      <c r="C54" s="8"/>
      <c r="D54" s="33"/>
    </row>
    <row r="55">
      <c r="A55" s="1" t="s">
        <v>50</v>
      </c>
      <c r="B55" s="8">
        <v>12.0</v>
      </c>
      <c r="C55" s="8"/>
      <c r="D55" s="33"/>
    </row>
    <row r="56">
      <c r="A56" s="1" t="s">
        <v>56</v>
      </c>
      <c r="B56" s="8">
        <v>330.0</v>
      </c>
      <c r="C56" s="8" t="s">
        <v>1202</v>
      </c>
      <c r="D56" s="33"/>
    </row>
    <row r="57">
      <c r="A57" s="1" t="s">
        <v>307</v>
      </c>
      <c r="B57" s="8">
        <v>64.0</v>
      </c>
      <c r="C57" s="8"/>
      <c r="D57" s="33"/>
    </row>
    <row r="58">
      <c r="A58" s="1" t="s">
        <v>36</v>
      </c>
      <c r="B58" s="8">
        <v>30.0</v>
      </c>
      <c r="C58" s="8"/>
      <c r="D58" s="33"/>
    </row>
    <row r="59">
      <c r="A59" s="1" t="s">
        <v>56</v>
      </c>
      <c r="B59" s="8">
        <v>50.0</v>
      </c>
      <c r="C59" s="8"/>
      <c r="D59" s="33"/>
    </row>
    <row r="60">
      <c r="A60" s="1" t="s">
        <v>36</v>
      </c>
      <c r="B60" s="8">
        <v>62.0</v>
      </c>
      <c r="C60" s="8"/>
      <c r="D60" s="33"/>
    </row>
    <row r="61">
      <c r="A61" s="1" t="s">
        <v>73</v>
      </c>
      <c r="B61" s="8">
        <v>150.0</v>
      </c>
      <c r="C61" s="8"/>
      <c r="D61" s="33"/>
    </row>
    <row r="62">
      <c r="A62" s="1" t="s">
        <v>842</v>
      </c>
      <c r="B62" s="8">
        <v>210.0</v>
      </c>
      <c r="C62" s="8"/>
      <c r="D62" s="33"/>
    </row>
    <row r="63">
      <c r="A63" s="1" t="s">
        <v>307</v>
      </c>
      <c r="B63" s="8">
        <v>100.0</v>
      </c>
      <c r="C63" s="8"/>
      <c r="D63" s="33"/>
    </row>
    <row r="64">
      <c r="A64" s="1" t="s">
        <v>307</v>
      </c>
      <c r="B64" s="8">
        <v>290.0</v>
      </c>
      <c r="C64" s="8"/>
      <c r="D64" s="33"/>
    </row>
    <row r="65">
      <c r="A65" s="1" t="s">
        <v>842</v>
      </c>
      <c r="B65" s="8">
        <v>160.0</v>
      </c>
      <c r="C65" s="8"/>
      <c r="D65" s="33"/>
    </row>
    <row r="66">
      <c r="A66" s="1" t="s">
        <v>56</v>
      </c>
      <c r="B66" s="8">
        <v>150.0</v>
      </c>
      <c r="C66" s="8"/>
      <c r="D66" s="33"/>
    </row>
    <row r="67">
      <c r="A67" s="1" t="s">
        <v>307</v>
      </c>
      <c r="B67" s="8">
        <v>110.0</v>
      </c>
      <c r="C67" s="8"/>
      <c r="D67" s="33"/>
    </row>
    <row r="68">
      <c r="A68" s="1" t="s">
        <v>42</v>
      </c>
      <c r="B68" s="8">
        <v>15.0</v>
      </c>
      <c r="C68" s="8"/>
      <c r="D68" s="33"/>
    </row>
    <row r="69">
      <c r="A69" s="1" t="s">
        <v>36</v>
      </c>
      <c r="B69" s="8">
        <v>30.0</v>
      </c>
      <c r="C69" s="8"/>
      <c r="D69" s="33"/>
    </row>
    <row r="70">
      <c r="A70" s="1" t="s">
        <v>56</v>
      </c>
      <c r="B70" s="8">
        <v>117.0</v>
      </c>
      <c r="C70" s="8"/>
      <c r="D70" s="35"/>
    </row>
    <row r="71">
      <c r="A71" s="1" t="s">
        <v>36</v>
      </c>
      <c r="B71" s="8">
        <v>216.0</v>
      </c>
      <c r="C71" s="8"/>
      <c r="D71" s="33"/>
    </row>
    <row r="72">
      <c r="A72" s="1" t="s">
        <v>41</v>
      </c>
      <c r="B72" s="8">
        <v>28.0</v>
      </c>
      <c r="C72" s="8"/>
      <c r="D72" s="33"/>
    </row>
    <row r="73">
      <c r="A73" s="1" t="s">
        <v>36</v>
      </c>
      <c r="B73" s="8">
        <v>43.0</v>
      </c>
      <c r="C73" s="8" t="s">
        <v>1192</v>
      </c>
      <c r="D73" s="33"/>
    </row>
    <row r="74">
      <c r="A74" s="1" t="s">
        <v>73</v>
      </c>
      <c r="B74" s="8">
        <v>300.0</v>
      </c>
      <c r="C74" s="8"/>
      <c r="D74" s="33"/>
    </row>
    <row r="75">
      <c r="A75" s="1" t="s">
        <v>36</v>
      </c>
      <c r="B75" s="8">
        <v>65.0</v>
      </c>
      <c r="C75" s="8"/>
      <c r="D75" s="33"/>
    </row>
    <row r="76">
      <c r="A76" s="1" t="s">
        <v>36</v>
      </c>
      <c r="B76" s="8">
        <v>53.0</v>
      </c>
      <c r="C76" s="8"/>
      <c r="D76" s="25"/>
    </row>
    <row r="77">
      <c r="A77" s="1" t="s">
        <v>56</v>
      </c>
      <c r="B77" s="8">
        <v>350.0</v>
      </c>
      <c r="C77" s="8" t="s">
        <v>800</v>
      </c>
      <c r="D77" s="25"/>
    </row>
    <row r="78">
      <c r="A78" s="1" t="s">
        <v>56</v>
      </c>
      <c r="B78" s="8">
        <v>70.0</v>
      </c>
      <c r="C78" s="8" t="s">
        <v>813</v>
      </c>
      <c r="D78" s="25"/>
    </row>
    <row r="79">
      <c r="A79" s="1" t="s">
        <v>56</v>
      </c>
      <c r="B79" s="8">
        <v>55.0</v>
      </c>
      <c r="C79" s="8"/>
      <c r="D79" s="25"/>
    </row>
    <row r="80">
      <c r="A80" s="1" t="s">
        <v>56</v>
      </c>
      <c r="B80" s="8">
        <v>86.0</v>
      </c>
      <c r="C80" s="8"/>
      <c r="D80" s="25"/>
    </row>
    <row r="81">
      <c r="A81" s="1" t="s">
        <v>36</v>
      </c>
      <c r="B81" s="8">
        <v>40.0</v>
      </c>
      <c r="C81" s="8"/>
      <c r="D81" s="25"/>
    </row>
    <row r="82">
      <c r="A82" s="1" t="s">
        <v>36</v>
      </c>
      <c r="B82" s="8">
        <v>22.0</v>
      </c>
      <c r="C82" s="8"/>
      <c r="D82" s="25"/>
    </row>
    <row r="83">
      <c r="A83" s="1" t="s">
        <v>148</v>
      </c>
      <c r="B83" s="8">
        <v>65.0</v>
      </c>
      <c r="C83" s="8"/>
      <c r="D83" s="25"/>
    </row>
    <row r="84">
      <c r="A84" s="1" t="s">
        <v>56</v>
      </c>
      <c r="B84" s="8">
        <v>86.0</v>
      </c>
      <c r="C84" s="8"/>
      <c r="D84" s="25"/>
    </row>
    <row r="85">
      <c r="A85" s="1" t="s">
        <v>36</v>
      </c>
      <c r="B85" s="8">
        <v>23.0</v>
      </c>
      <c r="C85" s="8"/>
      <c r="D85" s="25"/>
    </row>
    <row r="86">
      <c r="A86" s="1" t="s">
        <v>56</v>
      </c>
      <c r="B86" s="8">
        <v>500.0</v>
      </c>
      <c r="C86" s="8" t="s">
        <v>777</v>
      </c>
      <c r="D86" s="25"/>
    </row>
    <row r="87">
      <c r="A87" s="1" t="s">
        <v>51</v>
      </c>
      <c r="B87" s="8">
        <v>190.0</v>
      </c>
      <c r="C87" s="8"/>
      <c r="D87" s="25"/>
    </row>
    <row r="88">
      <c r="A88" s="1" t="s">
        <v>51</v>
      </c>
      <c r="B88" s="8">
        <v>123.0</v>
      </c>
      <c r="C88" s="8"/>
      <c r="D88" s="25"/>
    </row>
    <row r="89">
      <c r="A89" s="1" t="s">
        <v>58</v>
      </c>
      <c r="B89" s="8">
        <v>300.0</v>
      </c>
      <c r="C89" s="2"/>
      <c r="D89" s="25"/>
    </row>
    <row r="90">
      <c r="A90" s="1" t="s">
        <v>51</v>
      </c>
      <c r="B90" s="8">
        <v>133.0</v>
      </c>
      <c r="C90" s="8"/>
      <c r="D90" s="25"/>
    </row>
    <row r="91">
      <c r="A91" s="1" t="s">
        <v>47</v>
      </c>
      <c r="B91" s="8">
        <v>462.0</v>
      </c>
      <c r="C91" s="8" t="s">
        <v>1203</v>
      </c>
      <c r="D91" s="25"/>
    </row>
    <row r="92">
      <c r="A92" s="1" t="s">
        <v>51</v>
      </c>
      <c r="B92" s="8">
        <v>250.0</v>
      </c>
      <c r="C92" s="2"/>
      <c r="D92" s="25"/>
    </row>
    <row r="93">
      <c r="A93" s="3"/>
      <c r="B93" s="8"/>
      <c r="C93" s="2"/>
      <c r="D93" s="25"/>
    </row>
    <row r="94">
      <c r="A94" s="3"/>
      <c r="B94" s="8"/>
      <c r="C94" s="8"/>
      <c r="D94" s="25"/>
    </row>
    <row r="95">
      <c r="A95" s="3"/>
      <c r="B95" s="8"/>
      <c r="C95" s="2"/>
      <c r="D95" s="25"/>
    </row>
    <row r="96">
      <c r="A96" s="3"/>
      <c r="B96" s="8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</sheetData>
  <autoFilter ref="$A$2:$B$92"/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96">
        <sortState ref="A2:D96">
          <sortCondition ref="D2:D96"/>
          <sortCondition ref="B2:B96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SUM(J3:J999)</f>
        <v>14319.49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58</v>
      </c>
      <c r="B3" s="8">
        <v>519.0</v>
      </c>
      <c r="C3" s="8" t="s">
        <v>1204</v>
      </c>
      <c r="D3" s="33"/>
      <c r="E3" s="1" t="s">
        <v>34</v>
      </c>
      <c r="F3" s="8">
        <v>32258.0</v>
      </c>
      <c r="H3" s="2">
        <f>Zbiorczy!D30</f>
        <v>92500</v>
      </c>
      <c r="J3" s="3">
        <f t="shared" ref="J3:J7" si="1">SUMIF($A$3:A$98, K3, B$3:B$98)</f>
        <v>1825.49</v>
      </c>
      <c r="K3" s="1" t="s">
        <v>35</v>
      </c>
      <c r="M3" s="3">
        <f t="shared" ref="M3:M8" si="2">SUMIF($A$3:A$98, N3, B$3:B$98)</f>
        <v>317.51</v>
      </c>
      <c r="N3" s="1" t="s">
        <v>36</v>
      </c>
    </row>
    <row r="4">
      <c r="A4" s="1" t="s">
        <v>56</v>
      </c>
      <c r="B4" s="8">
        <v>270.0</v>
      </c>
      <c r="C4" s="8" t="s">
        <v>1076</v>
      </c>
      <c r="D4" s="33"/>
      <c r="F4" s="8"/>
      <c r="J4" s="3">
        <f t="shared" si="1"/>
        <v>4000</v>
      </c>
      <c r="K4" s="1" t="s">
        <v>40</v>
      </c>
      <c r="M4" s="3">
        <f t="shared" si="2"/>
        <v>58</v>
      </c>
      <c r="N4" s="1" t="s">
        <v>41</v>
      </c>
    </row>
    <row r="5">
      <c r="A5" s="1" t="s">
        <v>56</v>
      </c>
      <c r="B5" s="8">
        <v>150.0</v>
      </c>
      <c r="C5" s="8" t="s">
        <v>1205</v>
      </c>
      <c r="D5" s="35"/>
      <c r="J5" s="3">
        <f t="shared" si="1"/>
        <v>6017</v>
      </c>
      <c r="K5" s="1" t="s">
        <v>46</v>
      </c>
      <c r="M5" s="3">
        <f t="shared" si="2"/>
        <v>24254</v>
      </c>
      <c r="N5" s="1" t="s">
        <v>47</v>
      </c>
    </row>
    <row r="6">
      <c r="A6" s="1" t="s">
        <v>56</v>
      </c>
      <c r="B6" s="8">
        <v>190.0</v>
      </c>
      <c r="C6" s="8" t="s">
        <v>1050</v>
      </c>
      <c r="D6" s="35"/>
      <c r="J6" s="3">
        <f t="shared" si="1"/>
        <v>1710</v>
      </c>
      <c r="K6" s="1" t="s">
        <v>50</v>
      </c>
      <c r="M6" s="3">
        <f t="shared" si="2"/>
        <v>2789</v>
      </c>
      <c r="N6" s="1" t="s">
        <v>51</v>
      </c>
    </row>
    <row r="7">
      <c r="A7" s="1" t="s">
        <v>50</v>
      </c>
      <c r="B7" s="8">
        <v>1200.0</v>
      </c>
      <c r="C7" s="40"/>
      <c r="D7" s="33"/>
      <c r="J7" s="3">
        <f t="shared" si="1"/>
        <v>767</v>
      </c>
      <c r="K7" s="1" t="s">
        <v>55</v>
      </c>
      <c r="M7" s="3">
        <f t="shared" si="2"/>
        <v>6793</v>
      </c>
      <c r="N7" s="1" t="s">
        <v>56</v>
      </c>
    </row>
    <row r="8">
      <c r="A8" s="1" t="s">
        <v>56</v>
      </c>
      <c r="B8" s="8">
        <v>430.0</v>
      </c>
      <c r="C8" s="1" t="s">
        <v>1206</v>
      </c>
      <c r="D8" s="33"/>
      <c r="M8" s="3">
        <f t="shared" si="2"/>
        <v>24254</v>
      </c>
      <c r="N8" s="1" t="s">
        <v>47</v>
      </c>
    </row>
    <row r="9">
      <c r="A9" s="1" t="s">
        <v>80</v>
      </c>
      <c r="B9" s="8">
        <v>46.0</v>
      </c>
      <c r="C9" s="8"/>
      <c r="D9" s="33"/>
    </row>
    <row r="10">
      <c r="A10" s="1" t="s">
        <v>47</v>
      </c>
      <c r="B10" s="8">
        <v>88.0</v>
      </c>
      <c r="C10" s="8"/>
      <c r="D10" s="35"/>
    </row>
    <row r="11">
      <c r="A11" s="1" t="s">
        <v>47</v>
      </c>
      <c r="B11" s="8">
        <v>350.0</v>
      </c>
      <c r="C11" s="8" t="s">
        <v>989</v>
      </c>
      <c r="D11" s="35"/>
    </row>
    <row r="12">
      <c r="A12" s="1" t="s">
        <v>36</v>
      </c>
      <c r="B12" s="8">
        <v>82.0</v>
      </c>
      <c r="C12" s="8"/>
      <c r="D12" s="33"/>
    </row>
    <row r="13">
      <c r="A13" s="1" t="s">
        <v>47</v>
      </c>
      <c r="B13" s="8">
        <v>16150.0</v>
      </c>
      <c r="C13" s="8"/>
      <c r="D13" s="33"/>
    </row>
    <row r="14">
      <c r="A14" s="1" t="s">
        <v>58</v>
      </c>
      <c r="B14" s="8">
        <v>84.0</v>
      </c>
      <c r="C14" s="8"/>
      <c r="D14" s="33"/>
    </row>
    <row r="15">
      <c r="A15" s="1" t="s">
        <v>58</v>
      </c>
      <c r="B15" s="8">
        <v>230.0</v>
      </c>
      <c r="C15" s="8"/>
      <c r="D15" s="33"/>
    </row>
    <row r="16">
      <c r="A16" s="1" t="s">
        <v>58</v>
      </c>
      <c r="B16" s="8">
        <v>680.0</v>
      </c>
      <c r="C16" s="8" t="s">
        <v>1107</v>
      </c>
      <c r="D16" s="33"/>
    </row>
    <row r="17">
      <c r="A17" s="1" t="s">
        <v>307</v>
      </c>
      <c r="B17" s="8">
        <v>100.0</v>
      </c>
      <c r="C17" s="8"/>
      <c r="D17" s="25"/>
    </row>
    <row r="18">
      <c r="A18" s="1" t="s">
        <v>307</v>
      </c>
      <c r="B18" s="8">
        <v>60.0</v>
      </c>
      <c r="C18" s="8"/>
      <c r="D18" s="33"/>
    </row>
    <row r="19">
      <c r="A19" s="1" t="s">
        <v>56</v>
      </c>
      <c r="B19" s="1">
        <v>50.0</v>
      </c>
      <c r="C19" s="8"/>
      <c r="D19" s="33"/>
    </row>
    <row r="20">
      <c r="A20" s="1" t="s">
        <v>56</v>
      </c>
      <c r="B20" s="30">
        <v>50.0</v>
      </c>
      <c r="C20" s="8"/>
      <c r="D20" s="33"/>
    </row>
    <row r="21">
      <c r="A21" s="1" t="s">
        <v>51</v>
      </c>
      <c r="B21" s="8">
        <v>355.0</v>
      </c>
      <c r="C21" s="8"/>
      <c r="D21" s="33"/>
    </row>
    <row r="22">
      <c r="A22" s="1" t="s">
        <v>46</v>
      </c>
      <c r="B22" s="8">
        <v>6017.0</v>
      </c>
      <c r="C22" s="8"/>
      <c r="D22" s="33"/>
    </row>
    <row r="23">
      <c r="A23" s="1" t="s">
        <v>47</v>
      </c>
      <c r="B23" s="41">
        <v>5204.0</v>
      </c>
      <c r="C23" s="8" t="s">
        <v>1207</v>
      </c>
      <c r="D23" s="33"/>
    </row>
    <row r="24">
      <c r="A24" s="1" t="s">
        <v>47</v>
      </c>
      <c r="B24" s="8">
        <v>2100.0</v>
      </c>
      <c r="C24" s="8" t="s">
        <v>1208</v>
      </c>
      <c r="D24" s="33"/>
    </row>
    <row r="25">
      <c r="A25" s="1" t="s">
        <v>56</v>
      </c>
      <c r="B25" s="8">
        <v>122.0</v>
      </c>
      <c r="C25" s="8"/>
      <c r="D25" s="33"/>
    </row>
    <row r="26">
      <c r="A26" s="1" t="s">
        <v>73</v>
      </c>
      <c r="B26" s="8">
        <v>150.0</v>
      </c>
      <c r="C26" s="8"/>
      <c r="D26" s="33"/>
    </row>
    <row r="27">
      <c r="A27" s="1" t="s">
        <v>51</v>
      </c>
      <c r="B27" s="8">
        <v>210.0</v>
      </c>
      <c r="C27" s="8"/>
      <c r="D27" s="33"/>
    </row>
    <row r="28">
      <c r="A28" s="1" t="s">
        <v>56</v>
      </c>
      <c r="B28" s="8">
        <v>35.0</v>
      </c>
      <c r="C28" s="8"/>
      <c r="D28" s="33"/>
    </row>
    <row r="29">
      <c r="A29" s="1" t="s">
        <v>307</v>
      </c>
      <c r="B29" s="8">
        <v>950.0</v>
      </c>
      <c r="C29" s="8"/>
      <c r="D29" s="35"/>
    </row>
    <row r="30">
      <c r="A30" s="1" t="s">
        <v>56</v>
      </c>
      <c r="B30" s="8">
        <v>65.0</v>
      </c>
      <c r="C30" s="8"/>
      <c r="D30" s="33"/>
    </row>
    <row r="31">
      <c r="A31" s="1" t="s">
        <v>51</v>
      </c>
      <c r="B31" s="8">
        <v>110.0</v>
      </c>
      <c r="C31" s="8"/>
      <c r="D31" s="33"/>
    </row>
    <row r="32">
      <c r="A32" s="1" t="s">
        <v>51</v>
      </c>
      <c r="B32" s="8">
        <v>250.0</v>
      </c>
      <c r="C32" s="8"/>
      <c r="D32" s="33"/>
    </row>
    <row r="33">
      <c r="A33" s="1" t="s">
        <v>51</v>
      </c>
      <c r="B33" s="8">
        <v>319.0</v>
      </c>
      <c r="C33" s="8"/>
      <c r="D33" s="33"/>
    </row>
    <row r="34">
      <c r="A34" s="1" t="s">
        <v>56</v>
      </c>
      <c r="B34" s="41">
        <v>400.0</v>
      </c>
      <c r="C34" s="8" t="s">
        <v>777</v>
      </c>
      <c r="D34" s="33"/>
    </row>
    <row r="35">
      <c r="A35" s="1" t="s">
        <v>35</v>
      </c>
      <c r="B35" s="8">
        <v>1825.49</v>
      </c>
      <c r="C35" s="8"/>
      <c r="D35" s="33"/>
    </row>
    <row r="36">
      <c r="A36" s="1" t="s">
        <v>40</v>
      </c>
      <c r="B36" s="8">
        <v>4000.0</v>
      </c>
      <c r="C36" s="8"/>
      <c r="D36" s="33"/>
    </row>
    <row r="37">
      <c r="A37" s="1" t="s">
        <v>51</v>
      </c>
      <c r="B37" s="8">
        <v>357.0</v>
      </c>
      <c r="C37" s="8"/>
      <c r="D37" s="33"/>
    </row>
    <row r="38">
      <c r="A38" s="1" t="s">
        <v>51</v>
      </c>
      <c r="B38" s="8">
        <v>175.0</v>
      </c>
      <c r="C38" s="8"/>
      <c r="D38" s="33"/>
    </row>
    <row r="39">
      <c r="A39" s="1" t="s">
        <v>51</v>
      </c>
      <c r="B39" s="8">
        <v>102.0</v>
      </c>
      <c r="C39" s="8"/>
      <c r="D39" s="33"/>
    </row>
    <row r="40">
      <c r="A40" s="1" t="s">
        <v>58</v>
      </c>
      <c r="B40" s="8">
        <v>229.0</v>
      </c>
      <c r="C40" s="8" t="s">
        <v>782</v>
      </c>
      <c r="D40" s="33"/>
    </row>
    <row r="41">
      <c r="A41" s="1" t="s">
        <v>51</v>
      </c>
      <c r="B41" s="8">
        <v>330.0</v>
      </c>
      <c r="C41" s="8"/>
      <c r="D41" s="33"/>
    </row>
    <row r="42">
      <c r="A42" s="1" t="s">
        <v>58</v>
      </c>
      <c r="B42" s="8">
        <v>83.0</v>
      </c>
      <c r="C42" s="8" t="s">
        <v>783</v>
      </c>
      <c r="D42" s="33"/>
    </row>
    <row r="43">
      <c r="A43" s="1" t="s">
        <v>51</v>
      </c>
      <c r="B43" s="8">
        <v>200.0</v>
      </c>
      <c r="C43" s="8"/>
      <c r="D43" s="33"/>
    </row>
    <row r="44">
      <c r="A44" s="1" t="s">
        <v>51</v>
      </c>
      <c r="B44" s="8">
        <v>100.0</v>
      </c>
      <c r="C44" s="8"/>
      <c r="D44" s="33"/>
    </row>
    <row r="45">
      <c r="A45" s="1" t="s">
        <v>51</v>
      </c>
      <c r="B45" s="8">
        <v>281.0</v>
      </c>
      <c r="C45" s="8"/>
      <c r="D45" s="33"/>
    </row>
    <row r="46">
      <c r="A46" s="1" t="s">
        <v>37</v>
      </c>
      <c r="B46" s="8">
        <v>38.0</v>
      </c>
      <c r="C46" s="8" t="s">
        <v>1183</v>
      </c>
      <c r="D46" s="33"/>
    </row>
    <row r="47">
      <c r="A47" s="1" t="s">
        <v>36</v>
      </c>
      <c r="B47" s="8">
        <v>4.0</v>
      </c>
      <c r="C47" s="8"/>
      <c r="D47" s="33"/>
    </row>
    <row r="48">
      <c r="A48" s="1" t="s">
        <v>56</v>
      </c>
      <c r="B48" s="8">
        <v>57.0</v>
      </c>
      <c r="C48" s="8" t="s">
        <v>1209</v>
      </c>
      <c r="D48" s="33"/>
    </row>
    <row r="49">
      <c r="A49" s="1" t="s">
        <v>56</v>
      </c>
      <c r="B49" s="8">
        <v>16.0</v>
      </c>
      <c r="C49" s="8"/>
      <c r="D49" s="33"/>
    </row>
    <row r="50">
      <c r="A50" s="1" t="s">
        <v>73</v>
      </c>
      <c r="B50" s="8">
        <v>150.0</v>
      </c>
      <c r="C50" s="8" t="s">
        <v>1179</v>
      </c>
      <c r="D50" s="33"/>
    </row>
    <row r="51">
      <c r="A51" s="1" t="s">
        <v>47</v>
      </c>
      <c r="B51" s="8">
        <v>21.0</v>
      </c>
      <c r="C51" s="8" t="s">
        <v>780</v>
      </c>
      <c r="D51" s="33"/>
    </row>
    <row r="52">
      <c r="A52" s="1" t="s">
        <v>47</v>
      </c>
      <c r="B52" s="8">
        <v>16.0</v>
      </c>
      <c r="C52" s="8" t="s">
        <v>875</v>
      </c>
      <c r="D52" s="33"/>
    </row>
    <row r="53">
      <c r="A53" s="1" t="s">
        <v>50</v>
      </c>
      <c r="B53" s="8">
        <v>410.0</v>
      </c>
      <c r="C53" s="8" t="s">
        <v>1210</v>
      </c>
      <c r="D53" s="33"/>
    </row>
    <row r="54">
      <c r="A54" s="1" t="s">
        <v>56</v>
      </c>
      <c r="B54" s="8">
        <v>144.0</v>
      </c>
      <c r="C54" s="8" t="s">
        <v>1187</v>
      </c>
      <c r="D54" s="33"/>
    </row>
    <row r="55">
      <c r="A55" s="1" t="s">
        <v>36</v>
      </c>
      <c r="B55" s="8">
        <v>25.0</v>
      </c>
      <c r="C55" s="8"/>
      <c r="D55" s="33"/>
    </row>
    <row r="56">
      <c r="A56" s="1" t="s">
        <v>56</v>
      </c>
      <c r="B56" s="8">
        <v>19.0</v>
      </c>
      <c r="C56" s="8"/>
      <c r="D56" s="33"/>
    </row>
    <row r="57">
      <c r="A57" s="1" t="s">
        <v>56</v>
      </c>
      <c r="B57" s="8">
        <v>60.0</v>
      </c>
      <c r="C57" s="8" t="s">
        <v>1194</v>
      </c>
      <c r="D57" s="33"/>
    </row>
    <row r="58">
      <c r="A58" s="1" t="s">
        <v>148</v>
      </c>
      <c r="B58" s="8">
        <v>773.0</v>
      </c>
      <c r="C58" s="8" t="s">
        <v>1211</v>
      </c>
      <c r="D58" s="33"/>
    </row>
    <row r="59">
      <c r="A59" s="1" t="s">
        <v>73</v>
      </c>
      <c r="B59" s="8">
        <v>250.0</v>
      </c>
      <c r="C59" s="8" t="s">
        <v>1212</v>
      </c>
      <c r="D59" s="33"/>
    </row>
    <row r="60">
      <c r="A60" s="1" t="s">
        <v>47</v>
      </c>
      <c r="B60" s="8">
        <v>250.0</v>
      </c>
      <c r="C60" s="8" t="s">
        <v>1213</v>
      </c>
      <c r="D60" s="33"/>
    </row>
    <row r="61">
      <c r="A61" s="1" t="s">
        <v>36</v>
      </c>
      <c r="B61" s="8">
        <v>23.0</v>
      </c>
      <c r="C61" s="8"/>
      <c r="D61" s="33"/>
    </row>
    <row r="62">
      <c r="A62" s="1" t="s">
        <v>36</v>
      </c>
      <c r="B62" s="8">
        <v>71.0</v>
      </c>
      <c r="C62" s="8"/>
      <c r="D62" s="33"/>
    </row>
    <row r="63">
      <c r="A63" s="1" t="s">
        <v>56</v>
      </c>
      <c r="B63" s="8">
        <v>502.0</v>
      </c>
      <c r="C63" s="8" t="s">
        <v>534</v>
      </c>
      <c r="D63" s="33"/>
    </row>
    <row r="64">
      <c r="A64" s="1" t="s">
        <v>42</v>
      </c>
      <c r="B64" s="8">
        <v>140.0</v>
      </c>
      <c r="C64" s="8"/>
      <c r="D64" s="33"/>
    </row>
    <row r="65">
      <c r="A65" s="1" t="s">
        <v>56</v>
      </c>
      <c r="B65" s="8">
        <v>326.0</v>
      </c>
      <c r="C65" s="8" t="s">
        <v>1214</v>
      </c>
      <c r="D65" s="33"/>
    </row>
    <row r="66">
      <c r="A66" s="1" t="s">
        <v>56</v>
      </c>
      <c r="B66" s="8">
        <v>1105.0</v>
      </c>
      <c r="C66" s="8" t="s">
        <v>1215</v>
      </c>
      <c r="D66" s="33"/>
    </row>
    <row r="67">
      <c r="A67" s="1" t="s">
        <v>56</v>
      </c>
      <c r="B67" s="8">
        <v>180.0</v>
      </c>
      <c r="C67" s="8" t="s">
        <v>1216</v>
      </c>
      <c r="D67" s="33"/>
    </row>
    <row r="68">
      <c r="A68" s="1" t="s">
        <v>56</v>
      </c>
      <c r="B68" s="8">
        <v>42.0</v>
      </c>
      <c r="C68" s="8" t="s">
        <v>1217</v>
      </c>
      <c r="D68" s="33"/>
    </row>
    <row r="69">
      <c r="A69" s="1" t="s">
        <v>41</v>
      </c>
      <c r="B69" s="8">
        <v>10.0</v>
      </c>
      <c r="C69" s="8"/>
      <c r="D69" s="33"/>
    </row>
    <row r="70">
      <c r="A70" s="1" t="s">
        <v>56</v>
      </c>
      <c r="B70" s="8">
        <v>160.0</v>
      </c>
      <c r="C70" s="8" t="s">
        <v>1218</v>
      </c>
      <c r="D70" s="35"/>
    </row>
    <row r="71">
      <c r="A71" s="1" t="s">
        <v>148</v>
      </c>
      <c r="B71" s="8">
        <v>64.0</v>
      </c>
      <c r="C71" s="8"/>
      <c r="D71" s="33"/>
    </row>
    <row r="72">
      <c r="A72" s="1" t="s">
        <v>80</v>
      </c>
      <c r="B72" s="8">
        <v>17.0</v>
      </c>
      <c r="C72" s="8"/>
      <c r="D72" s="33"/>
    </row>
    <row r="73">
      <c r="A73" s="1" t="s">
        <v>56</v>
      </c>
      <c r="B73" s="8">
        <v>13.0</v>
      </c>
      <c r="C73" s="8"/>
      <c r="D73" s="33"/>
    </row>
    <row r="74">
      <c r="A74" s="1" t="s">
        <v>56</v>
      </c>
      <c r="B74" s="8">
        <v>82.0</v>
      </c>
      <c r="C74" s="8" t="s">
        <v>1219</v>
      </c>
      <c r="D74" s="33"/>
    </row>
    <row r="75">
      <c r="A75" s="1" t="s">
        <v>41</v>
      </c>
      <c r="B75" s="8">
        <v>48.0</v>
      </c>
      <c r="C75" s="8"/>
      <c r="D75" s="33"/>
    </row>
    <row r="76">
      <c r="A76" s="1" t="s">
        <v>36</v>
      </c>
      <c r="B76" s="8">
        <v>43.0</v>
      </c>
      <c r="C76" s="8"/>
      <c r="D76" s="25"/>
    </row>
    <row r="77">
      <c r="A77" s="1" t="s">
        <v>73</v>
      </c>
      <c r="B77" s="8">
        <v>300.0</v>
      </c>
      <c r="C77" s="8"/>
      <c r="D77" s="25"/>
    </row>
    <row r="78">
      <c r="A78" s="1" t="s">
        <v>56</v>
      </c>
      <c r="B78" s="8">
        <v>35.0</v>
      </c>
      <c r="C78" s="8"/>
      <c r="D78" s="25"/>
    </row>
    <row r="79">
      <c r="A79" s="1" t="s">
        <v>56</v>
      </c>
      <c r="B79" s="8">
        <v>150.0</v>
      </c>
      <c r="C79" s="8" t="s">
        <v>1220</v>
      </c>
      <c r="D79" s="25"/>
    </row>
    <row r="80">
      <c r="A80" s="1" t="s">
        <v>47</v>
      </c>
      <c r="B80" s="8">
        <v>25.0</v>
      </c>
      <c r="C80" s="8" t="s">
        <v>1110</v>
      </c>
      <c r="D80" s="25"/>
    </row>
    <row r="81">
      <c r="A81" s="1" t="s">
        <v>56</v>
      </c>
      <c r="B81" s="8">
        <v>123.0</v>
      </c>
      <c r="C81" s="8" t="s">
        <v>869</v>
      </c>
      <c r="D81" s="25"/>
    </row>
    <row r="82">
      <c r="A82" s="1" t="s">
        <v>56</v>
      </c>
      <c r="B82" s="8">
        <v>90.0</v>
      </c>
      <c r="C82" s="8" t="s">
        <v>1221</v>
      </c>
      <c r="D82" s="25"/>
    </row>
    <row r="83">
      <c r="A83" s="1" t="s">
        <v>73</v>
      </c>
      <c r="B83" s="8">
        <v>150.0</v>
      </c>
      <c r="C83" s="8" t="s">
        <v>1179</v>
      </c>
      <c r="D83" s="25"/>
    </row>
    <row r="84">
      <c r="A84" s="1" t="s">
        <v>37</v>
      </c>
      <c r="B84" s="8">
        <v>72.0</v>
      </c>
      <c r="C84" s="8"/>
      <c r="D84" s="25"/>
    </row>
    <row r="85">
      <c r="A85" s="1" t="s">
        <v>47</v>
      </c>
      <c r="B85" s="8">
        <v>50.0</v>
      </c>
      <c r="C85" s="8" t="s">
        <v>780</v>
      </c>
      <c r="D85" s="25"/>
    </row>
    <row r="86">
      <c r="A86" s="1" t="s">
        <v>56</v>
      </c>
      <c r="B86" s="8">
        <v>41.0</v>
      </c>
      <c r="C86" s="8" t="s">
        <v>971</v>
      </c>
      <c r="D86" s="25"/>
    </row>
    <row r="87">
      <c r="A87" s="1" t="s">
        <v>56</v>
      </c>
      <c r="B87" s="8">
        <v>1680.0</v>
      </c>
      <c r="C87" s="8" t="s">
        <v>1222</v>
      </c>
      <c r="D87" s="25"/>
    </row>
    <row r="88">
      <c r="A88" s="1" t="s">
        <v>56</v>
      </c>
      <c r="B88" s="8">
        <v>65.0</v>
      </c>
      <c r="C88" s="8" t="s">
        <v>1223</v>
      </c>
      <c r="D88" s="25"/>
    </row>
    <row r="89">
      <c r="A89" s="1" t="s">
        <v>36</v>
      </c>
      <c r="B89" s="8">
        <v>20.0</v>
      </c>
      <c r="C89" s="2"/>
      <c r="D89" s="25"/>
    </row>
    <row r="90">
      <c r="A90" s="1" t="s">
        <v>56</v>
      </c>
      <c r="B90" s="8">
        <v>21.0</v>
      </c>
      <c r="C90" s="8" t="s">
        <v>1224</v>
      </c>
      <c r="D90" s="25"/>
    </row>
    <row r="91">
      <c r="A91" s="1" t="s">
        <v>37</v>
      </c>
      <c r="B91" s="8">
        <v>52.0</v>
      </c>
      <c r="C91" s="2"/>
      <c r="D91" s="25"/>
    </row>
    <row r="92">
      <c r="A92" s="1" t="s">
        <v>50</v>
      </c>
      <c r="B92" s="8">
        <v>100.0</v>
      </c>
      <c r="C92" s="2"/>
      <c r="D92" s="25"/>
    </row>
    <row r="93">
      <c r="A93" s="1" t="s">
        <v>36</v>
      </c>
      <c r="B93" s="8">
        <v>27.0</v>
      </c>
      <c r="C93" s="2"/>
      <c r="D93" s="25"/>
    </row>
    <row r="94">
      <c r="A94" s="1" t="s">
        <v>55</v>
      </c>
      <c r="B94" s="8">
        <v>537.0</v>
      </c>
      <c r="C94" s="8" t="s">
        <v>55</v>
      </c>
      <c r="D94" s="25"/>
    </row>
    <row r="95">
      <c r="A95" s="1" t="s">
        <v>55</v>
      </c>
      <c r="B95" s="8">
        <v>230.0</v>
      </c>
      <c r="C95" s="2"/>
      <c r="D95" s="25"/>
    </row>
    <row r="96">
      <c r="A96" s="1" t="s">
        <v>36</v>
      </c>
      <c r="B96" s="8">
        <v>22.51</v>
      </c>
      <c r="C96" s="2"/>
      <c r="D96" s="25"/>
    </row>
    <row r="97">
      <c r="A97" s="1" t="s">
        <v>307</v>
      </c>
      <c r="B97" s="8">
        <v>650.0</v>
      </c>
      <c r="C97" s="2"/>
      <c r="D97" s="25"/>
    </row>
    <row r="98">
      <c r="A98" s="1" t="s">
        <v>56</v>
      </c>
      <c r="B98" s="8">
        <v>120.0</v>
      </c>
      <c r="C98" s="2"/>
      <c r="D98" s="25"/>
    </row>
    <row r="99">
      <c r="A99" s="1" t="s">
        <v>307</v>
      </c>
      <c r="B99" s="8">
        <v>40.0</v>
      </c>
      <c r="C99" s="2"/>
      <c r="D99" s="25"/>
    </row>
    <row r="100">
      <c r="A100" s="1" t="s">
        <v>56</v>
      </c>
      <c r="B100" s="8">
        <v>115.0</v>
      </c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</sheetData>
  <customSheetViews>
    <customSheetView guid="{E969E989-0C31-444B-8C15-CA7195A654B3}" filter="1" showAutoFilter="1">
      <autoFilter ref="$G$14"/>
    </customSheetView>
    <customSheetView guid="{DB56FE4D-69BC-4E44-A2B9-5F7BA227A86E}" filter="1" showAutoFilter="1">
      <autoFilter ref="$A$2:$D$100">
        <sortState ref="A2:D100">
          <sortCondition ref="D2:D100"/>
          <sortCondition ref="B2:B100"/>
        </sortState>
      </autoFilter>
    </customSheetView>
  </customSheetViews>
  <mergeCells count="2">
    <mergeCell ref="A1:B1"/>
    <mergeCell ref="E1:F1"/>
  </mergeCells>
  <conditionalFormatting sqref="D6:D99">
    <cfRule type="notContainsBlanks" dxfId="1" priority="1">
      <formula>LEN(TRIM(D6))&gt;0</formula>
    </cfRule>
  </conditionalFormatting>
  <dataValidations>
    <dataValidation type="list" allowBlank="1" sqref="A3:A99">
      <formula1>kategorie!$A$1:$A$50</formula1>
    </dataValidation>
    <dataValidation type="custom" allowBlank="1" showDropDown="1" sqref="D3:D97">
      <formula1>OR(NOT(ISERROR(DATEVALUE(D3))), AND(ISNUMBER(D3), LEFT(CELL("format", D3))="D"))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9579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8">
        <v>155.0</v>
      </c>
      <c r="C3" s="8" t="s">
        <v>1225</v>
      </c>
      <c r="D3" s="33"/>
      <c r="E3" s="1" t="s">
        <v>34</v>
      </c>
      <c r="F3" s="8">
        <v>22111.0</v>
      </c>
      <c r="H3" s="2">
        <f>Zbiorczy!D29</f>
        <v>88387</v>
      </c>
      <c r="J3" s="3">
        <f t="shared" ref="J3:J7" si="1">SUMIF($A$3:A$101, K3, B$3:B$101)</f>
        <v>1900</v>
      </c>
      <c r="K3" s="1" t="s">
        <v>35</v>
      </c>
      <c r="M3" s="3">
        <f t="shared" ref="M3:M8" si="2">SUMIF($A$3:A$101, N3, B$3:B$101)</f>
        <v>2168</v>
      </c>
      <c r="N3" s="1" t="s">
        <v>36</v>
      </c>
    </row>
    <row r="4">
      <c r="A4" s="1" t="s">
        <v>50</v>
      </c>
      <c r="B4" s="8">
        <v>350.0</v>
      </c>
      <c r="C4" s="8" t="s">
        <v>780</v>
      </c>
      <c r="D4" s="33"/>
      <c r="F4" s="8"/>
      <c r="J4" s="3">
        <f t="shared" si="1"/>
        <v>1820</v>
      </c>
      <c r="K4" s="1" t="s">
        <v>40</v>
      </c>
      <c r="M4" s="3">
        <f t="shared" si="2"/>
        <v>30</v>
      </c>
      <c r="N4" s="1" t="s">
        <v>41</v>
      </c>
    </row>
    <row r="5">
      <c r="A5" s="1" t="s">
        <v>50</v>
      </c>
      <c r="B5" s="8">
        <v>1370.0</v>
      </c>
      <c r="C5" s="8" t="s">
        <v>1226</v>
      </c>
      <c r="D5" s="35"/>
      <c r="J5" s="3">
        <f t="shared" si="1"/>
        <v>3934</v>
      </c>
      <c r="K5" s="1" t="s">
        <v>46</v>
      </c>
      <c r="M5" s="3">
        <f t="shared" si="2"/>
        <v>1617</v>
      </c>
      <c r="N5" s="1" t="s">
        <v>47</v>
      </c>
    </row>
    <row r="6">
      <c r="A6" s="1" t="s">
        <v>307</v>
      </c>
      <c r="B6" s="8">
        <v>65.0</v>
      </c>
      <c r="C6" s="8"/>
      <c r="D6" s="35"/>
      <c r="J6" s="3">
        <f t="shared" si="1"/>
        <v>1925</v>
      </c>
      <c r="K6" s="1" t="s">
        <v>50</v>
      </c>
      <c r="M6" s="3">
        <f t="shared" si="2"/>
        <v>978</v>
      </c>
      <c r="N6" s="1" t="s">
        <v>51</v>
      </c>
    </row>
    <row r="7">
      <c r="A7" s="1" t="s">
        <v>36</v>
      </c>
      <c r="B7" s="8">
        <v>195.0</v>
      </c>
      <c r="C7" s="40"/>
      <c r="D7" s="33"/>
      <c r="J7" s="3">
        <f t="shared" si="1"/>
        <v>0</v>
      </c>
      <c r="K7" s="1" t="s">
        <v>55</v>
      </c>
      <c r="M7" s="3">
        <f t="shared" si="2"/>
        <v>1869</v>
      </c>
      <c r="N7" s="1" t="s">
        <v>56</v>
      </c>
    </row>
    <row r="8">
      <c r="A8" s="1" t="s">
        <v>36</v>
      </c>
      <c r="B8" s="8">
        <v>32.0</v>
      </c>
      <c r="D8" s="33"/>
      <c r="M8" s="3">
        <f t="shared" si="2"/>
        <v>1617</v>
      </c>
      <c r="N8" s="1" t="s">
        <v>47</v>
      </c>
    </row>
    <row r="9">
      <c r="A9" s="1" t="s">
        <v>58</v>
      </c>
      <c r="B9" s="8">
        <v>83.0</v>
      </c>
      <c r="C9" s="8" t="s">
        <v>783</v>
      </c>
      <c r="D9" s="33"/>
    </row>
    <row r="10">
      <c r="A10" s="1" t="s">
        <v>58</v>
      </c>
      <c r="B10" s="8">
        <v>230.0</v>
      </c>
      <c r="C10" s="8" t="s">
        <v>815</v>
      </c>
      <c r="D10" s="35"/>
    </row>
    <row r="11">
      <c r="A11" s="1" t="s">
        <v>47</v>
      </c>
      <c r="B11" s="8">
        <v>200.0</v>
      </c>
      <c r="C11" s="8"/>
      <c r="D11" s="35"/>
    </row>
    <row r="12">
      <c r="A12" s="1" t="s">
        <v>51</v>
      </c>
      <c r="B12" s="8">
        <v>333.0</v>
      </c>
      <c r="C12" s="8"/>
      <c r="D12" s="35"/>
    </row>
    <row r="13">
      <c r="A13" s="1" t="s">
        <v>36</v>
      </c>
      <c r="B13" s="8">
        <v>70.0</v>
      </c>
      <c r="C13" s="8"/>
      <c r="D13" s="33"/>
    </row>
    <row r="14">
      <c r="A14" s="1" t="s">
        <v>36</v>
      </c>
      <c r="B14" s="8">
        <v>230.0</v>
      </c>
      <c r="C14" s="8"/>
      <c r="D14" s="33"/>
    </row>
    <row r="15">
      <c r="A15" s="1" t="s">
        <v>42</v>
      </c>
      <c r="B15" s="8">
        <v>150.0</v>
      </c>
      <c r="C15" s="8"/>
      <c r="D15" s="33"/>
    </row>
    <row r="16">
      <c r="A16" s="1" t="s">
        <v>36</v>
      </c>
      <c r="B16" s="8">
        <v>25.0</v>
      </c>
      <c r="C16" s="8"/>
      <c r="D16" s="33"/>
    </row>
    <row r="17">
      <c r="A17" s="1" t="s">
        <v>56</v>
      </c>
      <c r="B17" s="8">
        <v>60.0</v>
      </c>
      <c r="C17" s="8"/>
      <c r="D17" s="33"/>
    </row>
    <row r="18">
      <c r="A18" s="1" t="s">
        <v>56</v>
      </c>
      <c r="B18" s="8">
        <v>313.0</v>
      </c>
      <c r="C18" s="8" t="s">
        <v>1227</v>
      </c>
      <c r="D18" s="25"/>
    </row>
    <row r="19">
      <c r="A19" s="1" t="s">
        <v>307</v>
      </c>
      <c r="B19" s="8">
        <v>112.0</v>
      </c>
      <c r="C19" s="8" t="s">
        <v>1228</v>
      </c>
      <c r="D19" s="33"/>
    </row>
    <row r="20">
      <c r="A20" s="1" t="s">
        <v>50</v>
      </c>
      <c r="B20" s="1">
        <v>100.0</v>
      </c>
      <c r="C20" s="8"/>
      <c r="D20" s="33"/>
    </row>
    <row r="21">
      <c r="A21" s="1" t="s">
        <v>41</v>
      </c>
      <c r="B21" s="30">
        <v>30.0</v>
      </c>
      <c r="C21" s="8"/>
      <c r="D21" s="33"/>
    </row>
    <row r="22">
      <c r="A22" s="1" t="s">
        <v>772</v>
      </c>
      <c r="B22" s="8">
        <v>50.0</v>
      </c>
      <c r="C22" s="8"/>
      <c r="D22" s="33"/>
    </row>
    <row r="23">
      <c r="A23" s="1" t="s">
        <v>36</v>
      </c>
      <c r="B23" s="8">
        <v>50.0</v>
      </c>
      <c r="C23" s="8"/>
      <c r="D23" s="33"/>
    </row>
    <row r="24">
      <c r="A24" s="1" t="s">
        <v>36</v>
      </c>
      <c r="B24" s="41">
        <v>95.0</v>
      </c>
      <c r="C24" s="8"/>
      <c r="D24" s="33"/>
    </row>
    <row r="25">
      <c r="A25" s="1" t="s">
        <v>40</v>
      </c>
      <c r="B25" s="8">
        <v>1808.0</v>
      </c>
      <c r="C25" s="8"/>
      <c r="D25" s="33"/>
    </row>
    <row r="26">
      <c r="A26" s="1" t="s">
        <v>46</v>
      </c>
      <c r="B26" s="8">
        <v>3934.0</v>
      </c>
      <c r="C26" s="8"/>
      <c r="D26" s="33"/>
    </row>
    <row r="27">
      <c r="A27" s="1" t="s">
        <v>42</v>
      </c>
      <c r="B27" s="8">
        <v>17.0</v>
      </c>
      <c r="C27" s="8"/>
      <c r="D27" s="33"/>
    </row>
    <row r="28">
      <c r="A28" s="1" t="s">
        <v>307</v>
      </c>
      <c r="B28" s="8">
        <v>40.0</v>
      </c>
      <c r="C28" s="8"/>
      <c r="D28" s="33"/>
    </row>
    <row r="29">
      <c r="A29" s="1" t="s">
        <v>842</v>
      </c>
      <c r="B29" s="8">
        <v>160.0</v>
      </c>
      <c r="C29" s="8"/>
      <c r="D29" s="33"/>
    </row>
    <row r="30">
      <c r="A30" s="1" t="s">
        <v>772</v>
      </c>
      <c r="B30" s="8">
        <v>60.0</v>
      </c>
      <c r="C30" s="8"/>
      <c r="D30" s="35"/>
    </row>
    <row r="31">
      <c r="A31" s="1" t="s">
        <v>842</v>
      </c>
      <c r="B31" s="8">
        <v>50.0</v>
      </c>
      <c r="C31" s="8"/>
      <c r="D31" s="33"/>
    </row>
    <row r="32">
      <c r="A32" s="1" t="s">
        <v>56</v>
      </c>
      <c r="B32" s="8">
        <v>336.0</v>
      </c>
      <c r="C32" s="8" t="s">
        <v>1229</v>
      </c>
      <c r="D32" s="33"/>
    </row>
    <row r="33">
      <c r="A33" s="1" t="s">
        <v>36</v>
      </c>
      <c r="B33" s="8">
        <v>90.0</v>
      </c>
      <c r="C33" s="8"/>
      <c r="D33" s="33"/>
    </row>
    <row r="34">
      <c r="A34" s="1" t="s">
        <v>35</v>
      </c>
      <c r="B34" s="8">
        <v>1900.0</v>
      </c>
      <c r="C34" s="42"/>
      <c r="D34" s="33"/>
    </row>
    <row r="35">
      <c r="A35" s="1" t="s">
        <v>40</v>
      </c>
      <c r="B35" s="8">
        <v>12.0</v>
      </c>
      <c r="C35" s="8"/>
      <c r="D35" s="33"/>
    </row>
    <row r="36">
      <c r="A36" s="1" t="s">
        <v>36</v>
      </c>
      <c r="B36" s="41">
        <v>107.0</v>
      </c>
      <c r="C36" s="8"/>
      <c r="D36" s="33"/>
    </row>
    <row r="37">
      <c r="A37" s="1" t="s">
        <v>56</v>
      </c>
      <c r="B37" s="8">
        <v>100.0</v>
      </c>
      <c r="C37" s="8"/>
      <c r="D37" s="33"/>
    </row>
    <row r="38">
      <c r="A38" s="1" t="s">
        <v>56</v>
      </c>
      <c r="B38" s="8">
        <v>300.0</v>
      </c>
      <c r="C38" s="8" t="s">
        <v>1230</v>
      </c>
      <c r="D38" s="33"/>
    </row>
    <row r="39">
      <c r="A39" s="1" t="s">
        <v>36</v>
      </c>
      <c r="B39" s="8">
        <v>120.0</v>
      </c>
      <c r="C39" s="8"/>
      <c r="D39" s="33"/>
    </row>
    <row r="40">
      <c r="A40" s="1" t="s">
        <v>36</v>
      </c>
      <c r="B40" s="8">
        <v>50.0</v>
      </c>
      <c r="C40" s="8"/>
      <c r="D40" s="33"/>
    </row>
    <row r="41">
      <c r="A41" s="1" t="s">
        <v>36</v>
      </c>
      <c r="B41" s="8">
        <v>50.0</v>
      </c>
      <c r="C41" s="8"/>
      <c r="D41" s="33"/>
    </row>
    <row r="42">
      <c r="A42" s="1" t="s">
        <v>56</v>
      </c>
      <c r="B42" s="8">
        <v>55.0</v>
      </c>
      <c r="C42" s="8"/>
      <c r="D42" s="33"/>
    </row>
    <row r="43">
      <c r="A43" s="1" t="s">
        <v>36</v>
      </c>
      <c r="B43" s="8">
        <v>571.0</v>
      </c>
      <c r="C43" s="8"/>
      <c r="D43" s="33"/>
    </row>
    <row r="44">
      <c r="A44" s="1" t="s">
        <v>47</v>
      </c>
      <c r="B44" s="8">
        <v>1417.0</v>
      </c>
      <c r="C44" s="8"/>
      <c r="D44" s="33"/>
    </row>
    <row r="45">
      <c r="A45" s="1" t="s">
        <v>36</v>
      </c>
      <c r="B45" s="8">
        <v>40.0</v>
      </c>
      <c r="C45" s="8"/>
      <c r="D45" s="33"/>
    </row>
    <row r="46">
      <c r="A46" s="1" t="s">
        <v>56</v>
      </c>
      <c r="B46" s="8">
        <v>180.0</v>
      </c>
      <c r="C46" s="8" t="s">
        <v>1231</v>
      </c>
      <c r="D46" s="33"/>
    </row>
    <row r="47">
      <c r="A47" s="1" t="s">
        <v>36</v>
      </c>
      <c r="B47" s="8">
        <v>23.0</v>
      </c>
      <c r="C47" s="8"/>
      <c r="D47" s="33"/>
    </row>
    <row r="48">
      <c r="A48" s="1" t="s">
        <v>36</v>
      </c>
      <c r="B48" s="8">
        <v>120.0</v>
      </c>
      <c r="C48" s="8"/>
      <c r="D48" s="33"/>
    </row>
    <row r="49">
      <c r="A49" s="1" t="s">
        <v>73</v>
      </c>
      <c r="B49" s="8">
        <v>150.0</v>
      </c>
      <c r="C49" s="8"/>
      <c r="D49" s="33"/>
    </row>
    <row r="50">
      <c r="A50" s="1" t="s">
        <v>73</v>
      </c>
      <c r="B50" s="8">
        <v>300.0</v>
      </c>
      <c r="C50" s="8"/>
      <c r="D50" s="33"/>
    </row>
    <row r="51">
      <c r="A51" s="1" t="s">
        <v>51</v>
      </c>
      <c r="B51" s="8">
        <v>360.0</v>
      </c>
      <c r="C51" s="8"/>
      <c r="D51" s="33"/>
    </row>
    <row r="52">
      <c r="A52" s="1" t="s">
        <v>36</v>
      </c>
      <c r="B52" s="8">
        <v>150.0</v>
      </c>
      <c r="C52" s="8"/>
      <c r="D52" s="33"/>
    </row>
    <row r="53">
      <c r="A53" s="1" t="s">
        <v>56</v>
      </c>
      <c r="B53" s="8">
        <v>100.0</v>
      </c>
      <c r="C53" s="8"/>
      <c r="D53" s="33"/>
    </row>
    <row r="54">
      <c r="A54" s="1" t="s">
        <v>42</v>
      </c>
      <c r="B54" s="8">
        <v>290.0</v>
      </c>
      <c r="C54" s="8"/>
      <c r="D54" s="33"/>
    </row>
    <row r="55">
      <c r="A55" s="1" t="s">
        <v>56</v>
      </c>
      <c r="B55" s="8">
        <v>120.0</v>
      </c>
      <c r="C55" s="8"/>
      <c r="D55" s="33"/>
    </row>
    <row r="56">
      <c r="A56" s="1" t="s">
        <v>51</v>
      </c>
      <c r="B56" s="8">
        <v>285.0</v>
      </c>
      <c r="C56" s="8"/>
      <c r="D56" s="33"/>
    </row>
    <row r="57">
      <c r="A57" s="1" t="s">
        <v>56</v>
      </c>
      <c r="B57" s="8">
        <v>70.0</v>
      </c>
      <c r="C57" s="8" t="s">
        <v>813</v>
      </c>
      <c r="D57" s="33"/>
    </row>
    <row r="58">
      <c r="A58" s="1" t="s">
        <v>56</v>
      </c>
      <c r="B58" s="8">
        <v>80.0</v>
      </c>
      <c r="C58" s="8"/>
      <c r="D58" s="33"/>
    </row>
    <row r="59">
      <c r="A59" s="1" t="s">
        <v>50</v>
      </c>
      <c r="B59" s="8">
        <v>105.0</v>
      </c>
      <c r="C59" s="8"/>
      <c r="D59" s="33"/>
    </row>
    <row r="60">
      <c r="A60" s="1" t="s">
        <v>36</v>
      </c>
      <c r="B60" s="8">
        <v>150.0</v>
      </c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8"/>
      <c r="C88" s="2"/>
      <c r="D88" s="25"/>
    </row>
    <row r="89">
      <c r="A89" s="3"/>
      <c r="B89" s="8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9">
        <sortState ref="A2:D89">
          <sortCondition ref="D2:D89"/>
          <sortCondition ref="B2:B89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8643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36</v>
      </c>
      <c r="B3" s="8">
        <v>200.0</v>
      </c>
      <c r="C3" s="8" t="s">
        <v>1232</v>
      </c>
      <c r="D3" s="33">
        <v>44835.0</v>
      </c>
      <c r="E3" s="1" t="s">
        <v>34</v>
      </c>
      <c r="F3" s="8">
        <v>26340.0</v>
      </c>
      <c r="H3" s="2">
        <f>Zbiorczy!D28</f>
        <v>79838</v>
      </c>
      <c r="J3" s="3">
        <f t="shared" ref="J3:J7" si="1">SUMIF($A$3:A$101, K3, B$3:B$101)</f>
        <v>1830</v>
      </c>
      <c r="K3" s="1" t="s">
        <v>35</v>
      </c>
      <c r="M3" s="3">
        <f t="shared" ref="M3:M8" si="2">SUMIF($A$3:A$101, N3, B$3:B$101)</f>
        <v>621</v>
      </c>
      <c r="N3" s="1" t="s">
        <v>36</v>
      </c>
    </row>
    <row r="4">
      <c r="A4" s="1" t="s">
        <v>50</v>
      </c>
      <c r="B4" s="8">
        <v>100.0</v>
      </c>
      <c r="C4" s="8"/>
      <c r="D4" s="33"/>
      <c r="E4" s="1" t="s">
        <v>1233</v>
      </c>
      <c r="F4" s="8"/>
      <c r="J4" s="3">
        <f t="shared" si="1"/>
        <v>3572</v>
      </c>
      <c r="K4" s="1" t="s">
        <v>40</v>
      </c>
      <c r="M4" s="3">
        <f t="shared" si="2"/>
        <v>0</v>
      </c>
      <c r="N4" s="1" t="s">
        <v>41</v>
      </c>
    </row>
    <row r="5">
      <c r="A5" s="1" t="s">
        <v>50</v>
      </c>
      <c r="B5" s="8">
        <v>650.0</v>
      </c>
      <c r="C5" s="8" t="s">
        <v>1234</v>
      </c>
      <c r="D5" s="35"/>
      <c r="J5" s="3">
        <f t="shared" si="1"/>
        <v>14</v>
      </c>
      <c r="K5" s="1" t="s">
        <v>46</v>
      </c>
      <c r="M5" s="3">
        <f t="shared" si="2"/>
        <v>0</v>
      </c>
      <c r="N5" s="1" t="s">
        <v>47</v>
      </c>
    </row>
    <row r="6">
      <c r="A6" s="1" t="s">
        <v>80</v>
      </c>
      <c r="B6" s="8">
        <v>40.0</v>
      </c>
      <c r="C6" s="8"/>
      <c r="D6" s="35"/>
      <c r="J6" s="3">
        <f t="shared" si="1"/>
        <v>2460</v>
      </c>
      <c r="K6" s="1" t="s">
        <v>50</v>
      </c>
      <c r="M6" s="3">
        <f t="shared" si="2"/>
        <v>380</v>
      </c>
      <c r="N6" s="1" t="s">
        <v>51</v>
      </c>
    </row>
    <row r="7">
      <c r="A7" s="1" t="s">
        <v>56</v>
      </c>
      <c r="B7" s="8">
        <v>20.0</v>
      </c>
      <c r="C7" s="40"/>
      <c r="D7" s="33"/>
      <c r="J7" s="3">
        <f t="shared" si="1"/>
        <v>767</v>
      </c>
      <c r="K7" s="1" t="s">
        <v>55</v>
      </c>
      <c r="M7" s="3">
        <f t="shared" si="2"/>
        <v>6980</v>
      </c>
      <c r="N7" s="1" t="s">
        <v>56</v>
      </c>
    </row>
    <row r="8">
      <c r="A8" s="1" t="s">
        <v>56</v>
      </c>
      <c r="B8" s="8">
        <v>120.0</v>
      </c>
      <c r="D8" s="33"/>
      <c r="M8" s="3">
        <f t="shared" si="2"/>
        <v>0</v>
      </c>
      <c r="N8" s="1" t="s">
        <v>47</v>
      </c>
    </row>
    <row r="9">
      <c r="A9" s="1" t="s">
        <v>50</v>
      </c>
      <c r="B9" s="8">
        <v>1270.0</v>
      </c>
      <c r="C9" s="8"/>
      <c r="D9" s="33"/>
    </row>
    <row r="10">
      <c r="A10" s="1" t="s">
        <v>50</v>
      </c>
      <c r="B10" s="8">
        <v>350.0</v>
      </c>
      <c r="C10" s="8"/>
      <c r="D10" s="35"/>
    </row>
    <row r="11">
      <c r="A11" s="1" t="s">
        <v>56</v>
      </c>
      <c r="B11" s="8">
        <v>225.0</v>
      </c>
      <c r="C11" s="8"/>
      <c r="D11" s="35"/>
    </row>
    <row r="12">
      <c r="A12" s="1" t="s">
        <v>50</v>
      </c>
      <c r="B12" s="8">
        <v>90.0</v>
      </c>
      <c r="C12" s="8"/>
      <c r="D12" s="35"/>
    </row>
    <row r="13">
      <c r="A13" s="1" t="s">
        <v>56</v>
      </c>
      <c r="B13" s="8">
        <v>20.0</v>
      </c>
      <c r="C13" s="8"/>
      <c r="D13" s="33"/>
    </row>
    <row r="14">
      <c r="A14" s="1" t="s">
        <v>56</v>
      </c>
      <c r="B14" s="8">
        <v>60.0</v>
      </c>
      <c r="C14" s="8"/>
      <c r="D14" s="33"/>
    </row>
    <row r="15">
      <c r="A15" s="1" t="s">
        <v>36</v>
      </c>
      <c r="B15" s="8">
        <v>60.0</v>
      </c>
      <c r="C15" s="8"/>
      <c r="D15" s="33"/>
    </row>
    <row r="16">
      <c r="A16" s="1" t="s">
        <v>58</v>
      </c>
      <c r="B16" s="8">
        <v>263.0</v>
      </c>
      <c r="C16" s="8" t="s">
        <v>815</v>
      </c>
      <c r="D16" s="33"/>
    </row>
    <row r="17">
      <c r="A17" s="1" t="s">
        <v>58</v>
      </c>
      <c r="B17" s="8">
        <v>83.0</v>
      </c>
      <c r="C17" s="8"/>
      <c r="D17" s="33"/>
    </row>
    <row r="18">
      <c r="A18" s="1" t="s">
        <v>36</v>
      </c>
      <c r="B18" s="8">
        <v>112.0</v>
      </c>
      <c r="C18" s="8"/>
      <c r="D18" s="25"/>
    </row>
    <row r="19">
      <c r="A19" s="1" t="s">
        <v>80</v>
      </c>
      <c r="B19" s="8">
        <v>70.0</v>
      </c>
      <c r="C19" s="8"/>
      <c r="D19" s="33"/>
    </row>
    <row r="20">
      <c r="A20" s="1" t="s">
        <v>36</v>
      </c>
      <c r="B20" s="1">
        <v>24.0</v>
      </c>
      <c r="C20" s="8"/>
      <c r="D20" s="33"/>
    </row>
    <row r="21">
      <c r="A21" s="1" t="s">
        <v>36</v>
      </c>
      <c r="B21" s="30">
        <v>20.0</v>
      </c>
      <c r="C21" s="8"/>
      <c r="D21" s="33"/>
    </row>
    <row r="22">
      <c r="A22" s="1" t="s">
        <v>73</v>
      </c>
      <c r="B22" s="8">
        <v>150.0</v>
      </c>
      <c r="C22" s="8" t="s">
        <v>1179</v>
      </c>
      <c r="D22" s="33"/>
    </row>
    <row r="23">
      <c r="A23" s="1" t="s">
        <v>56</v>
      </c>
      <c r="B23" s="8">
        <v>75.0</v>
      </c>
      <c r="C23" s="8"/>
      <c r="D23" s="33"/>
    </row>
    <row r="24">
      <c r="A24" s="1" t="s">
        <v>58</v>
      </c>
      <c r="B24" s="41">
        <v>170.0</v>
      </c>
      <c r="C24" s="8" t="s">
        <v>1110</v>
      </c>
      <c r="D24" s="33"/>
    </row>
    <row r="25">
      <c r="A25" s="1" t="s">
        <v>36</v>
      </c>
      <c r="B25" s="8">
        <v>80.0</v>
      </c>
      <c r="C25" s="8"/>
      <c r="D25" s="33"/>
    </row>
    <row r="26">
      <c r="A26" s="1" t="s">
        <v>42</v>
      </c>
      <c r="B26" s="8">
        <v>101.0</v>
      </c>
      <c r="C26" s="8"/>
      <c r="D26" s="33"/>
    </row>
    <row r="27">
      <c r="A27" s="1" t="s">
        <v>36</v>
      </c>
      <c r="B27" s="8">
        <v>20.0</v>
      </c>
      <c r="C27" s="8"/>
      <c r="D27" s="33"/>
    </row>
    <row r="28">
      <c r="A28" s="1" t="s">
        <v>56</v>
      </c>
      <c r="B28" s="8">
        <v>20.0</v>
      </c>
      <c r="C28" s="8"/>
      <c r="D28" s="33"/>
    </row>
    <row r="29">
      <c r="A29" s="1" t="s">
        <v>201</v>
      </c>
      <c r="B29" s="8">
        <v>1830.0</v>
      </c>
      <c r="C29" s="8"/>
      <c r="D29" s="33"/>
    </row>
    <row r="30">
      <c r="A30" s="1" t="s">
        <v>46</v>
      </c>
      <c r="B30" s="8">
        <v>14.0</v>
      </c>
      <c r="C30" s="8"/>
      <c r="D30" s="35"/>
    </row>
    <row r="31">
      <c r="A31" s="1" t="s">
        <v>56</v>
      </c>
      <c r="B31" s="8">
        <v>100.0</v>
      </c>
      <c r="C31" s="8"/>
      <c r="D31" s="33"/>
    </row>
    <row r="32">
      <c r="A32" s="1" t="s">
        <v>36</v>
      </c>
      <c r="B32" s="8">
        <v>40.0</v>
      </c>
      <c r="C32" s="8"/>
      <c r="D32" s="33"/>
    </row>
    <row r="33">
      <c r="A33" s="1" t="s">
        <v>56</v>
      </c>
      <c r="B33" s="8">
        <v>70.0</v>
      </c>
      <c r="C33" s="8"/>
      <c r="D33" s="33"/>
    </row>
    <row r="34">
      <c r="A34" s="1" t="s">
        <v>36</v>
      </c>
      <c r="B34" s="8">
        <v>65.0</v>
      </c>
      <c r="C34" s="42"/>
      <c r="D34" s="33"/>
    </row>
    <row r="35">
      <c r="A35" s="1" t="s">
        <v>56</v>
      </c>
      <c r="B35" s="8">
        <v>90.0</v>
      </c>
      <c r="C35" s="8" t="s">
        <v>1235</v>
      </c>
      <c r="D35" s="33"/>
    </row>
    <row r="36">
      <c r="A36" s="1" t="s">
        <v>56</v>
      </c>
      <c r="B36" s="41">
        <v>85.0</v>
      </c>
      <c r="C36" s="8" t="s">
        <v>1236</v>
      </c>
      <c r="D36" s="33"/>
    </row>
    <row r="37">
      <c r="A37" s="1" t="s">
        <v>51</v>
      </c>
      <c r="B37" s="8">
        <v>380.0</v>
      </c>
      <c r="C37" s="8"/>
      <c r="D37" s="33"/>
    </row>
    <row r="38">
      <c r="A38" s="1" t="s">
        <v>56</v>
      </c>
      <c r="B38" s="8">
        <v>28.0</v>
      </c>
      <c r="C38" s="8"/>
      <c r="D38" s="33"/>
    </row>
    <row r="39">
      <c r="A39" s="1" t="s">
        <v>58</v>
      </c>
      <c r="B39" s="8">
        <v>290.0</v>
      </c>
      <c r="C39" s="8"/>
      <c r="D39" s="33"/>
    </row>
    <row r="40">
      <c r="A40" s="1" t="s">
        <v>40</v>
      </c>
      <c r="B40" s="8">
        <v>3572.0</v>
      </c>
      <c r="C40" s="8"/>
      <c r="D40" s="33"/>
    </row>
    <row r="41">
      <c r="A41" s="1" t="s">
        <v>55</v>
      </c>
      <c r="B41" s="8">
        <v>230.0</v>
      </c>
      <c r="C41" s="8" t="s">
        <v>1237</v>
      </c>
      <c r="D41" s="33"/>
    </row>
    <row r="42">
      <c r="A42" s="1" t="s">
        <v>55</v>
      </c>
      <c r="B42" s="8">
        <v>537.0</v>
      </c>
      <c r="C42" s="8" t="s">
        <v>1104</v>
      </c>
      <c r="D42" s="33"/>
    </row>
    <row r="43">
      <c r="A43" s="1" t="s">
        <v>56</v>
      </c>
      <c r="B43" s="8">
        <v>225.0</v>
      </c>
      <c r="C43" s="8" t="s">
        <v>1202</v>
      </c>
      <c r="D43" s="33"/>
    </row>
    <row r="44">
      <c r="A44" s="1" t="s">
        <v>56</v>
      </c>
      <c r="B44" s="8">
        <v>5842.0</v>
      </c>
      <c r="C44" s="8" t="s">
        <v>1197</v>
      </c>
      <c r="D44" s="33"/>
    </row>
    <row r="45">
      <c r="A45" s="3"/>
      <c r="B45" s="8"/>
      <c r="C45" s="8"/>
      <c r="D45" s="33"/>
    </row>
    <row r="46">
      <c r="A46" s="3"/>
      <c r="B46" s="8"/>
      <c r="C46" s="8"/>
      <c r="D46" s="33"/>
    </row>
    <row r="47">
      <c r="A47" s="3"/>
      <c r="B47" s="8"/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8"/>
      <c r="C88" s="2"/>
      <c r="D88" s="25"/>
    </row>
    <row r="89">
      <c r="A89" s="3"/>
      <c r="B89" s="8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9">
        <sortState ref="A2:D89">
          <sortCondition ref="D2:D89"/>
          <sortCondition ref="B2:B89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3" max="3" width="15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8806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50</v>
      </c>
      <c r="B3" s="8">
        <v>1370.0</v>
      </c>
      <c r="C3" s="8"/>
      <c r="D3" s="33"/>
      <c r="E3" s="1" t="s">
        <v>34</v>
      </c>
      <c r="F3" s="8">
        <v>23099.0</v>
      </c>
      <c r="H3" s="2">
        <f>Zbiorczy!D27</f>
        <v>73236</v>
      </c>
      <c r="J3" s="3">
        <f t="shared" ref="J3:J7" si="1">SUMIF($A$3:A$101, K3, B$3:B$101)</f>
        <v>1900</v>
      </c>
      <c r="K3" s="1" t="s">
        <v>35</v>
      </c>
      <c r="M3" s="3">
        <f t="shared" ref="M3:M8" si="2">SUMIF($A$3:A$101, N3, B$3:B$101)</f>
        <v>1195</v>
      </c>
      <c r="N3" s="1" t="s">
        <v>36</v>
      </c>
    </row>
    <row r="4">
      <c r="A4" s="1" t="s">
        <v>41</v>
      </c>
      <c r="B4" s="8">
        <v>14.0</v>
      </c>
      <c r="C4" s="8"/>
      <c r="D4" s="33"/>
      <c r="E4" s="1" t="s">
        <v>1233</v>
      </c>
      <c r="F4" s="8"/>
      <c r="J4" s="3">
        <f t="shared" si="1"/>
        <v>3302</v>
      </c>
      <c r="K4" s="1" t="s">
        <v>40</v>
      </c>
      <c r="M4" s="3">
        <f t="shared" si="2"/>
        <v>112</v>
      </c>
      <c r="N4" s="1" t="s">
        <v>41</v>
      </c>
    </row>
    <row r="5">
      <c r="A5" s="1" t="s">
        <v>42</v>
      </c>
      <c r="B5" s="8">
        <v>210.0</v>
      </c>
      <c r="C5" s="8"/>
      <c r="D5" s="35"/>
      <c r="J5" s="3">
        <f t="shared" si="1"/>
        <v>0</v>
      </c>
      <c r="K5" s="1" t="s">
        <v>46</v>
      </c>
      <c r="M5" s="3">
        <f t="shared" si="2"/>
        <v>96</v>
      </c>
      <c r="N5" s="1" t="s">
        <v>47</v>
      </c>
    </row>
    <row r="6">
      <c r="A6" s="1" t="s">
        <v>36</v>
      </c>
      <c r="B6" s="8">
        <v>20.0</v>
      </c>
      <c r="C6" s="8"/>
      <c r="D6" s="35"/>
      <c r="J6" s="3">
        <f t="shared" si="1"/>
        <v>2070</v>
      </c>
      <c r="K6" s="1" t="s">
        <v>50</v>
      </c>
      <c r="M6" s="3">
        <f t="shared" si="2"/>
        <v>1553</v>
      </c>
      <c r="N6" s="1" t="s">
        <v>51</v>
      </c>
    </row>
    <row r="7">
      <c r="A7" s="1" t="s">
        <v>50</v>
      </c>
      <c r="B7" s="8">
        <v>350.0</v>
      </c>
      <c r="C7" s="40"/>
      <c r="D7" s="33"/>
      <c r="J7" s="3">
        <f t="shared" si="1"/>
        <v>1534</v>
      </c>
      <c r="K7" s="1" t="s">
        <v>55</v>
      </c>
      <c r="M7" s="3">
        <f t="shared" si="2"/>
        <v>2091</v>
      </c>
      <c r="N7" s="1" t="s">
        <v>56</v>
      </c>
    </row>
    <row r="8">
      <c r="A8" s="1" t="s">
        <v>56</v>
      </c>
      <c r="B8" s="8">
        <v>35.0</v>
      </c>
      <c r="C8" s="1" t="s">
        <v>1238</v>
      </c>
      <c r="D8" s="33"/>
      <c r="M8" s="3">
        <f t="shared" si="2"/>
        <v>96</v>
      </c>
      <c r="N8" s="1" t="s">
        <v>47</v>
      </c>
    </row>
    <row r="9">
      <c r="A9" s="1" t="s">
        <v>36</v>
      </c>
      <c r="B9" s="8">
        <v>120.0</v>
      </c>
      <c r="C9" s="8"/>
      <c r="D9" s="33"/>
    </row>
    <row r="10">
      <c r="A10" s="1" t="s">
        <v>41</v>
      </c>
      <c r="B10" s="8">
        <v>16.0</v>
      </c>
      <c r="C10" s="8"/>
      <c r="D10" s="35"/>
    </row>
    <row r="11">
      <c r="A11" s="1" t="s">
        <v>51</v>
      </c>
      <c r="B11" s="8">
        <v>315.0</v>
      </c>
      <c r="C11" s="8"/>
      <c r="D11" s="35"/>
    </row>
    <row r="12">
      <c r="A12" s="1" t="s">
        <v>56</v>
      </c>
      <c r="B12" s="8">
        <v>115.0</v>
      </c>
      <c r="C12" s="8" t="s">
        <v>883</v>
      </c>
      <c r="D12" s="35"/>
    </row>
    <row r="13">
      <c r="A13" s="1" t="s">
        <v>56</v>
      </c>
      <c r="B13" s="8">
        <v>145.0</v>
      </c>
      <c r="C13" s="8" t="s">
        <v>1239</v>
      </c>
      <c r="D13" s="33"/>
    </row>
    <row r="14">
      <c r="A14" s="1" t="s">
        <v>36</v>
      </c>
      <c r="B14" s="8">
        <v>36.0</v>
      </c>
      <c r="C14" s="8"/>
      <c r="D14" s="33"/>
    </row>
    <row r="15">
      <c r="A15" s="1" t="s">
        <v>56</v>
      </c>
      <c r="B15" s="8">
        <v>30.0</v>
      </c>
      <c r="C15" s="8"/>
      <c r="D15" s="33"/>
    </row>
    <row r="16">
      <c r="A16" s="1" t="s">
        <v>56</v>
      </c>
      <c r="B16" s="8">
        <v>40.0</v>
      </c>
      <c r="C16" s="8"/>
      <c r="D16" s="33"/>
    </row>
    <row r="17">
      <c r="A17" s="1" t="s">
        <v>56</v>
      </c>
      <c r="B17" s="8">
        <v>21.0</v>
      </c>
      <c r="C17" s="8" t="s">
        <v>1240</v>
      </c>
      <c r="D17" s="33"/>
    </row>
    <row r="18">
      <c r="A18" s="1" t="s">
        <v>56</v>
      </c>
      <c r="B18" s="8">
        <v>370.0</v>
      </c>
      <c r="C18" s="8" t="s">
        <v>1241</v>
      </c>
      <c r="D18" s="25"/>
    </row>
    <row r="19">
      <c r="A19" s="1" t="s">
        <v>36</v>
      </c>
      <c r="B19" s="8">
        <v>54.0</v>
      </c>
      <c r="C19" s="8"/>
      <c r="D19" s="33"/>
    </row>
    <row r="20">
      <c r="A20" s="1" t="s">
        <v>56</v>
      </c>
      <c r="B20" s="1">
        <v>300.0</v>
      </c>
      <c r="C20" s="8" t="s">
        <v>1242</v>
      </c>
      <c r="D20" s="33"/>
    </row>
    <row r="21">
      <c r="A21" s="1" t="s">
        <v>58</v>
      </c>
      <c r="B21" s="30">
        <v>83.0</v>
      </c>
      <c r="C21" s="8" t="s">
        <v>783</v>
      </c>
      <c r="D21" s="33"/>
    </row>
    <row r="22">
      <c r="A22" s="1" t="s">
        <v>58</v>
      </c>
      <c r="B22" s="8">
        <v>252.0</v>
      </c>
      <c r="C22" s="8" t="s">
        <v>782</v>
      </c>
      <c r="D22" s="33"/>
    </row>
    <row r="23">
      <c r="A23" s="1" t="s">
        <v>36</v>
      </c>
      <c r="B23" s="8">
        <v>27.0</v>
      </c>
      <c r="C23" s="8"/>
      <c r="D23" s="33"/>
    </row>
    <row r="24">
      <c r="A24" s="1" t="s">
        <v>36</v>
      </c>
      <c r="B24" s="41">
        <v>50.0</v>
      </c>
      <c r="C24" s="8"/>
      <c r="D24" s="33"/>
    </row>
    <row r="25">
      <c r="A25" s="1" t="s">
        <v>148</v>
      </c>
      <c r="B25" s="8">
        <v>123.0</v>
      </c>
      <c r="C25" s="8"/>
      <c r="D25" s="33"/>
    </row>
    <row r="26">
      <c r="A26" s="1" t="s">
        <v>41</v>
      </c>
      <c r="B26" s="8">
        <v>25.0</v>
      </c>
      <c r="C26" s="8"/>
      <c r="D26" s="33"/>
    </row>
    <row r="27">
      <c r="A27" s="1" t="s">
        <v>41</v>
      </c>
      <c r="B27" s="8">
        <v>17.0</v>
      </c>
      <c r="C27" s="8"/>
      <c r="D27" s="33"/>
    </row>
    <row r="28">
      <c r="A28" s="1" t="s">
        <v>56</v>
      </c>
      <c r="B28" s="8">
        <v>65.0</v>
      </c>
      <c r="C28" s="8" t="s">
        <v>1243</v>
      </c>
      <c r="D28" s="33"/>
    </row>
    <row r="29">
      <c r="A29" s="1" t="s">
        <v>41</v>
      </c>
      <c r="B29" s="8">
        <v>10.0</v>
      </c>
      <c r="C29" s="8"/>
      <c r="D29" s="33"/>
    </row>
    <row r="30">
      <c r="A30" s="1" t="s">
        <v>55</v>
      </c>
      <c r="B30" s="8">
        <v>230.0</v>
      </c>
      <c r="C30" s="8" t="s">
        <v>1237</v>
      </c>
      <c r="D30" s="35"/>
    </row>
    <row r="31">
      <c r="A31" s="1" t="s">
        <v>56</v>
      </c>
      <c r="B31" s="8">
        <v>24.0</v>
      </c>
      <c r="C31" s="8" t="s">
        <v>947</v>
      </c>
      <c r="D31" s="33"/>
    </row>
    <row r="32">
      <c r="A32" s="1" t="s">
        <v>307</v>
      </c>
      <c r="B32" s="8">
        <v>680.0</v>
      </c>
      <c r="C32" s="8" t="s">
        <v>1244</v>
      </c>
      <c r="D32" s="33"/>
    </row>
    <row r="33">
      <c r="A33" s="1" t="s">
        <v>36</v>
      </c>
      <c r="B33" s="8">
        <v>16.0</v>
      </c>
      <c r="C33" s="8"/>
      <c r="D33" s="33"/>
    </row>
    <row r="34">
      <c r="A34" s="1" t="s">
        <v>56</v>
      </c>
      <c r="B34" s="8">
        <v>29.0</v>
      </c>
      <c r="C34" s="42" t="s">
        <v>947</v>
      </c>
      <c r="D34" s="33"/>
    </row>
    <row r="35">
      <c r="A35" s="1" t="s">
        <v>36</v>
      </c>
      <c r="B35" s="8">
        <v>130.0</v>
      </c>
      <c r="C35" s="8"/>
      <c r="D35" s="33"/>
    </row>
    <row r="36">
      <c r="A36" s="1" t="s">
        <v>56</v>
      </c>
      <c r="B36" s="41">
        <v>40.0</v>
      </c>
      <c r="C36" s="8" t="s">
        <v>1245</v>
      </c>
      <c r="D36" s="33"/>
    </row>
    <row r="37">
      <c r="A37" s="1" t="s">
        <v>772</v>
      </c>
      <c r="B37" s="8">
        <v>17.0</v>
      </c>
      <c r="C37" s="8"/>
      <c r="D37" s="33"/>
    </row>
    <row r="38">
      <c r="A38" s="1" t="s">
        <v>56</v>
      </c>
      <c r="B38" s="8">
        <v>50.0</v>
      </c>
      <c r="C38" s="8" t="s">
        <v>1246</v>
      </c>
      <c r="D38" s="33"/>
    </row>
    <row r="39">
      <c r="A39" s="1" t="s">
        <v>56</v>
      </c>
      <c r="B39" s="8">
        <v>37.0</v>
      </c>
      <c r="C39" s="8" t="s">
        <v>1247</v>
      </c>
      <c r="D39" s="33"/>
    </row>
    <row r="40">
      <c r="A40" s="1" t="s">
        <v>772</v>
      </c>
      <c r="B40" s="8">
        <v>18.0</v>
      </c>
      <c r="C40" s="8"/>
      <c r="D40" s="33"/>
    </row>
    <row r="41">
      <c r="A41" s="1" t="s">
        <v>55</v>
      </c>
      <c r="B41" s="8">
        <v>537.0</v>
      </c>
      <c r="C41" s="8" t="s">
        <v>1248</v>
      </c>
      <c r="D41" s="33"/>
    </row>
    <row r="42">
      <c r="A42" s="1" t="s">
        <v>50</v>
      </c>
      <c r="B42" s="8">
        <v>100.0</v>
      </c>
      <c r="C42" s="8" t="s">
        <v>1249</v>
      </c>
      <c r="D42" s="33"/>
    </row>
    <row r="43">
      <c r="A43" s="1" t="s">
        <v>40</v>
      </c>
      <c r="B43" s="8">
        <v>3290.0</v>
      </c>
      <c r="C43" s="8"/>
      <c r="D43" s="33"/>
    </row>
    <row r="44">
      <c r="A44" s="1" t="s">
        <v>73</v>
      </c>
      <c r="B44" s="8">
        <v>300.0</v>
      </c>
      <c r="C44" s="8"/>
      <c r="D44" s="33"/>
    </row>
    <row r="45">
      <c r="A45" s="1" t="s">
        <v>51</v>
      </c>
      <c r="B45" s="8">
        <v>340.0</v>
      </c>
      <c r="C45" s="8"/>
      <c r="D45" s="33"/>
    </row>
    <row r="46">
      <c r="A46" s="1" t="s">
        <v>41</v>
      </c>
      <c r="B46" s="8">
        <v>5.0</v>
      </c>
      <c r="C46" s="8"/>
      <c r="D46" s="33"/>
    </row>
    <row r="47">
      <c r="A47" s="1" t="s">
        <v>47</v>
      </c>
      <c r="B47" s="8">
        <v>20.0</v>
      </c>
      <c r="C47" s="8"/>
      <c r="D47" s="33"/>
    </row>
    <row r="48">
      <c r="A48" s="1" t="s">
        <v>56</v>
      </c>
      <c r="B48" s="8">
        <v>26.0</v>
      </c>
      <c r="C48" s="8"/>
      <c r="D48" s="33"/>
    </row>
    <row r="49">
      <c r="A49" s="1" t="s">
        <v>56</v>
      </c>
      <c r="B49" s="8">
        <v>40.0</v>
      </c>
      <c r="C49" s="8"/>
      <c r="D49" s="33"/>
    </row>
    <row r="50">
      <c r="A50" s="1" t="s">
        <v>56</v>
      </c>
      <c r="B50" s="8">
        <v>10.0</v>
      </c>
      <c r="C50" s="8"/>
      <c r="D50" s="33"/>
    </row>
    <row r="51">
      <c r="A51" s="1" t="s">
        <v>36</v>
      </c>
      <c r="B51" s="8">
        <v>70.0</v>
      </c>
      <c r="C51" s="8"/>
      <c r="D51" s="33"/>
    </row>
    <row r="52">
      <c r="A52" s="1" t="s">
        <v>36</v>
      </c>
      <c r="B52" s="8">
        <v>20.0</v>
      </c>
      <c r="C52" s="8"/>
      <c r="D52" s="33"/>
    </row>
    <row r="53">
      <c r="A53" s="1" t="s">
        <v>47</v>
      </c>
      <c r="B53" s="8">
        <v>76.0</v>
      </c>
      <c r="C53" s="8" t="s">
        <v>1250</v>
      </c>
      <c r="D53" s="33"/>
    </row>
    <row r="54">
      <c r="A54" s="1" t="s">
        <v>51</v>
      </c>
      <c r="B54" s="8">
        <v>218.0</v>
      </c>
      <c r="C54" s="8"/>
      <c r="D54" s="33"/>
    </row>
    <row r="55">
      <c r="A55" s="1" t="s">
        <v>51</v>
      </c>
      <c r="B55" s="8">
        <v>170.0</v>
      </c>
      <c r="C55" s="8"/>
      <c r="D55" s="33"/>
    </row>
    <row r="56">
      <c r="A56" s="1" t="s">
        <v>51</v>
      </c>
      <c r="B56" s="8">
        <v>200.0</v>
      </c>
      <c r="C56" s="8"/>
      <c r="D56" s="33"/>
    </row>
    <row r="57">
      <c r="A57" s="1" t="s">
        <v>37</v>
      </c>
      <c r="B57" s="8">
        <v>50.0</v>
      </c>
      <c r="C57" s="8" t="s">
        <v>1251</v>
      </c>
      <c r="D57" s="33"/>
    </row>
    <row r="58">
      <c r="A58" s="1" t="s">
        <v>37</v>
      </c>
      <c r="B58" s="8">
        <v>52.0</v>
      </c>
      <c r="C58" s="8"/>
      <c r="D58" s="33"/>
    </row>
    <row r="59">
      <c r="A59" s="1" t="s">
        <v>56</v>
      </c>
      <c r="B59" s="8">
        <v>10.0</v>
      </c>
      <c r="C59" s="8"/>
      <c r="D59" s="33"/>
    </row>
    <row r="60">
      <c r="A60" s="1" t="s">
        <v>56</v>
      </c>
      <c r="B60" s="8">
        <v>7.0</v>
      </c>
      <c r="C60" s="8"/>
      <c r="D60" s="33"/>
    </row>
    <row r="61">
      <c r="A61" s="1" t="s">
        <v>56</v>
      </c>
      <c r="B61" s="8">
        <v>53.0</v>
      </c>
      <c r="C61" s="8" t="s">
        <v>1252</v>
      </c>
      <c r="D61" s="33"/>
    </row>
    <row r="62">
      <c r="A62" s="1" t="s">
        <v>36</v>
      </c>
      <c r="B62" s="8">
        <v>9.0</v>
      </c>
      <c r="C62" s="8"/>
      <c r="D62" s="33"/>
    </row>
    <row r="63">
      <c r="A63" s="1" t="s">
        <v>56</v>
      </c>
      <c r="B63" s="8">
        <v>10.0</v>
      </c>
      <c r="C63" s="8" t="s">
        <v>1253</v>
      </c>
      <c r="D63" s="33"/>
    </row>
    <row r="64">
      <c r="A64" s="1" t="s">
        <v>36</v>
      </c>
      <c r="B64" s="8">
        <v>13.0</v>
      </c>
      <c r="C64" s="8"/>
      <c r="D64" s="33"/>
    </row>
    <row r="65">
      <c r="A65" s="1" t="s">
        <v>56</v>
      </c>
      <c r="B65" s="8">
        <v>40.0</v>
      </c>
      <c r="C65" s="8" t="s">
        <v>1254</v>
      </c>
      <c r="D65" s="33"/>
    </row>
    <row r="66">
      <c r="A66" s="1" t="s">
        <v>40</v>
      </c>
      <c r="B66" s="8">
        <v>12.0</v>
      </c>
      <c r="C66" s="8"/>
      <c r="D66" s="33"/>
    </row>
    <row r="67">
      <c r="A67" s="1" t="s">
        <v>201</v>
      </c>
      <c r="B67" s="8">
        <v>1900.0</v>
      </c>
      <c r="C67" s="8"/>
      <c r="D67" s="33"/>
    </row>
    <row r="68">
      <c r="A68" s="1" t="s">
        <v>42</v>
      </c>
      <c r="B68" s="8">
        <v>55.0</v>
      </c>
      <c r="C68" s="8"/>
      <c r="D68" s="33"/>
    </row>
    <row r="69">
      <c r="A69" s="1" t="s">
        <v>56</v>
      </c>
      <c r="B69" s="8">
        <v>20.0</v>
      </c>
      <c r="C69" s="8" t="s">
        <v>1255</v>
      </c>
      <c r="D69" s="33"/>
    </row>
    <row r="70">
      <c r="A70" s="1" t="s">
        <v>36</v>
      </c>
      <c r="B70" s="8">
        <v>40.0</v>
      </c>
      <c r="C70" s="8"/>
      <c r="D70" s="33"/>
    </row>
    <row r="71">
      <c r="A71" s="1" t="s">
        <v>36</v>
      </c>
      <c r="B71" s="8">
        <v>120.0</v>
      </c>
      <c r="C71" s="8"/>
      <c r="D71" s="33"/>
    </row>
    <row r="72">
      <c r="A72" s="1" t="s">
        <v>73</v>
      </c>
      <c r="B72" s="8">
        <v>150.0</v>
      </c>
      <c r="C72" s="8" t="s">
        <v>1256</v>
      </c>
      <c r="D72" s="33"/>
    </row>
    <row r="73">
      <c r="A73" s="1" t="s">
        <v>41</v>
      </c>
      <c r="B73" s="8">
        <v>5.0</v>
      </c>
      <c r="C73" s="8"/>
      <c r="D73" s="35"/>
    </row>
    <row r="74">
      <c r="A74" s="1" t="s">
        <v>42</v>
      </c>
      <c r="B74" s="8">
        <v>144.0</v>
      </c>
      <c r="C74" s="8"/>
      <c r="D74" s="33"/>
    </row>
    <row r="75">
      <c r="A75" s="1" t="s">
        <v>36</v>
      </c>
      <c r="B75" s="8">
        <v>170.0</v>
      </c>
      <c r="C75" s="8"/>
      <c r="D75" s="33"/>
    </row>
    <row r="76">
      <c r="A76" s="1" t="s">
        <v>42</v>
      </c>
      <c r="B76" s="8">
        <v>40.0</v>
      </c>
      <c r="C76" s="8"/>
      <c r="D76" s="33"/>
    </row>
    <row r="77">
      <c r="A77" s="1" t="s">
        <v>56</v>
      </c>
      <c r="B77" s="8">
        <v>90.0</v>
      </c>
      <c r="C77" s="8"/>
      <c r="D77" s="33"/>
    </row>
    <row r="78">
      <c r="A78" s="1" t="s">
        <v>36</v>
      </c>
      <c r="B78" s="8">
        <v>50.0</v>
      </c>
      <c r="C78" s="8"/>
      <c r="D78" s="33"/>
    </row>
    <row r="79">
      <c r="A79" s="1" t="s">
        <v>51</v>
      </c>
      <c r="B79" s="8">
        <v>310.0</v>
      </c>
      <c r="C79" s="8"/>
      <c r="D79" s="25"/>
    </row>
    <row r="80">
      <c r="A80" s="1" t="s">
        <v>56</v>
      </c>
      <c r="B80" s="8">
        <v>300.0</v>
      </c>
      <c r="C80" s="8" t="s">
        <v>1257</v>
      </c>
      <c r="D80" s="25"/>
    </row>
    <row r="81">
      <c r="A81" s="1" t="s">
        <v>41</v>
      </c>
      <c r="B81" s="8">
        <v>20.0</v>
      </c>
      <c r="C81" s="8"/>
      <c r="D81" s="25"/>
    </row>
    <row r="82">
      <c r="A82" s="1" t="s">
        <v>56</v>
      </c>
      <c r="B82" s="8">
        <v>39.0</v>
      </c>
      <c r="C82" s="8"/>
      <c r="D82" s="25"/>
    </row>
    <row r="83">
      <c r="A83" s="1" t="s">
        <v>58</v>
      </c>
      <c r="B83" s="8">
        <v>10.0</v>
      </c>
      <c r="C83" s="8"/>
      <c r="D83" s="25"/>
    </row>
    <row r="84">
      <c r="A84" s="1" t="s">
        <v>36</v>
      </c>
      <c r="B84" s="8">
        <v>220.0</v>
      </c>
      <c r="C84" s="2"/>
      <c r="D84" s="25"/>
    </row>
    <row r="85">
      <c r="A85" s="1" t="s">
        <v>58</v>
      </c>
      <c r="B85" s="8">
        <v>290.0</v>
      </c>
      <c r="C85" s="8"/>
      <c r="D85" s="25"/>
    </row>
    <row r="86">
      <c r="A86" s="1" t="s">
        <v>148</v>
      </c>
      <c r="B86" s="8">
        <v>50.0</v>
      </c>
      <c r="C86" s="8"/>
      <c r="D86" s="25"/>
    </row>
    <row r="87">
      <c r="A87" s="1" t="s">
        <v>50</v>
      </c>
      <c r="B87" s="8">
        <v>150.0</v>
      </c>
      <c r="C87" s="8"/>
      <c r="D87" s="25"/>
    </row>
    <row r="88">
      <c r="A88" s="1" t="s">
        <v>50</v>
      </c>
      <c r="B88" s="8">
        <v>100.0</v>
      </c>
      <c r="C88" s="2"/>
      <c r="D88" s="25"/>
    </row>
    <row r="89">
      <c r="A89" s="1" t="s">
        <v>36</v>
      </c>
      <c r="B89" s="8">
        <v>30.0</v>
      </c>
      <c r="C89" s="2"/>
      <c r="D89" s="25"/>
    </row>
    <row r="90">
      <c r="A90" s="1" t="s">
        <v>56</v>
      </c>
      <c r="B90" s="8">
        <v>70.0</v>
      </c>
      <c r="C90" s="2"/>
      <c r="D90" s="25"/>
    </row>
    <row r="91">
      <c r="A91" s="1" t="s">
        <v>307</v>
      </c>
      <c r="B91" s="8">
        <v>120.0</v>
      </c>
      <c r="C91" s="2"/>
      <c r="D91" s="25"/>
    </row>
    <row r="92">
      <c r="A92" s="1" t="s">
        <v>56</v>
      </c>
      <c r="B92" s="8">
        <v>75.0</v>
      </c>
      <c r="C92" s="2"/>
      <c r="D92" s="25"/>
    </row>
    <row r="93">
      <c r="A93" s="1" t="s">
        <v>55</v>
      </c>
      <c r="B93" s="8">
        <v>537.0</v>
      </c>
      <c r="C93" s="8" t="s">
        <v>1258</v>
      </c>
      <c r="D93" s="25"/>
    </row>
    <row r="94">
      <c r="A94" s="1" t="s">
        <v>55</v>
      </c>
      <c r="B94" s="8">
        <v>230.0</v>
      </c>
      <c r="C94" s="8" t="s">
        <v>1259</v>
      </c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94">
        <sortState ref="A2:D94">
          <sortCondition ref="D2:D94"/>
          <sortCondition ref="B2:B94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SUM(J3:J998)</f>
        <v>6686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50</v>
      </c>
      <c r="B3" s="8">
        <v>1370.0</v>
      </c>
      <c r="C3" s="8"/>
      <c r="D3" s="33"/>
      <c r="E3" s="1" t="s">
        <v>34</v>
      </c>
      <c r="F3" s="8">
        <v>22369.0</v>
      </c>
      <c r="H3" s="8">
        <f>Zbiorczy!D26</f>
        <v>72488</v>
      </c>
      <c r="J3" s="3">
        <f t="shared" ref="J3:J7" si="1">SUMIF($A$3:A$97, K3, B$3:B$97)</f>
        <v>1826</v>
      </c>
      <c r="K3" s="1" t="s">
        <v>35</v>
      </c>
      <c r="M3" s="3">
        <f t="shared" ref="M3:M7" si="2">SUMIF($A$3:A$97, N3, B$3:B$97)</f>
        <v>1102</v>
      </c>
      <c r="N3" s="1" t="s">
        <v>36</v>
      </c>
    </row>
    <row r="4">
      <c r="A4" s="1" t="s">
        <v>36</v>
      </c>
      <c r="B4" s="8">
        <v>70.0</v>
      </c>
      <c r="C4" s="8"/>
      <c r="D4" s="33"/>
      <c r="E4" s="1" t="s">
        <v>1260</v>
      </c>
      <c r="F4" s="8">
        <v>450.0</v>
      </c>
      <c r="J4" s="3">
        <f t="shared" si="1"/>
        <v>2900</v>
      </c>
      <c r="K4" s="1" t="s">
        <v>40</v>
      </c>
      <c r="M4" s="3">
        <f t="shared" si="2"/>
        <v>154</v>
      </c>
      <c r="N4" s="1" t="s">
        <v>41</v>
      </c>
    </row>
    <row r="5">
      <c r="A5" s="1" t="s">
        <v>56</v>
      </c>
      <c r="B5" s="8">
        <v>165.0</v>
      </c>
      <c r="C5" s="8" t="s">
        <v>1261</v>
      </c>
      <c r="D5" s="35"/>
      <c r="E5" s="1" t="s">
        <v>1262</v>
      </c>
      <c r="F5" s="1">
        <v>670.0</v>
      </c>
      <c r="J5" s="3">
        <f t="shared" si="1"/>
        <v>0</v>
      </c>
      <c r="K5" s="1" t="s">
        <v>46</v>
      </c>
      <c r="M5" s="3">
        <f t="shared" si="2"/>
        <v>2985</v>
      </c>
      <c r="N5" s="1" t="s">
        <v>47</v>
      </c>
    </row>
    <row r="6">
      <c r="A6" s="1" t="s">
        <v>56</v>
      </c>
      <c r="B6" s="8">
        <v>130.0</v>
      </c>
      <c r="C6" s="8" t="s">
        <v>1263</v>
      </c>
      <c r="D6" s="35"/>
      <c r="J6" s="3">
        <f t="shared" si="1"/>
        <v>1960</v>
      </c>
      <c r="K6" s="1" t="s">
        <v>50</v>
      </c>
      <c r="M6" s="3">
        <f t="shared" si="2"/>
        <v>1181</v>
      </c>
      <c r="N6" s="1" t="s">
        <v>51</v>
      </c>
    </row>
    <row r="7">
      <c r="A7" s="1" t="s">
        <v>47</v>
      </c>
      <c r="B7" s="8">
        <v>350.0</v>
      </c>
      <c r="C7" s="40" t="s">
        <v>989</v>
      </c>
      <c r="D7" s="33"/>
      <c r="J7" s="3">
        <f t="shared" si="1"/>
        <v>0</v>
      </c>
      <c r="K7" s="1" t="s">
        <v>55</v>
      </c>
      <c r="M7" s="3">
        <f t="shared" si="2"/>
        <v>6967</v>
      </c>
      <c r="N7" s="1" t="s">
        <v>56</v>
      </c>
    </row>
    <row r="8">
      <c r="A8" s="1" t="s">
        <v>36</v>
      </c>
      <c r="B8" s="8">
        <v>80.0</v>
      </c>
      <c r="D8" s="33"/>
    </row>
    <row r="9">
      <c r="A9" s="1" t="s">
        <v>56</v>
      </c>
      <c r="B9" s="8">
        <v>55.0</v>
      </c>
      <c r="C9" s="8" t="s">
        <v>1264</v>
      </c>
      <c r="D9" s="33"/>
    </row>
    <row r="10">
      <c r="A10" s="1" t="s">
        <v>56</v>
      </c>
      <c r="B10" s="8">
        <v>850.0</v>
      </c>
      <c r="C10" s="8" t="s">
        <v>1265</v>
      </c>
      <c r="D10" s="35"/>
    </row>
    <row r="11">
      <c r="A11" s="1" t="s">
        <v>58</v>
      </c>
      <c r="B11" s="8">
        <v>390.0</v>
      </c>
      <c r="C11" s="8" t="s">
        <v>782</v>
      </c>
      <c r="D11" s="35"/>
    </row>
    <row r="12">
      <c r="A12" s="1" t="s">
        <v>58</v>
      </c>
      <c r="B12" s="8">
        <v>90.0</v>
      </c>
      <c r="C12" s="8" t="s">
        <v>783</v>
      </c>
      <c r="D12" s="35"/>
    </row>
    <row r="13">
      <c r="A13" s="1" t="s">
        <v>56</v>
      </c>
      <c r="B13" s="8">
        <v>30.0</v>
      </c>
      <c r="C13" s="8" t="s">
        <v>1052</v>
      </c>
      <c r="D13" s="33"/>
    </row>
    <row r="14">
      <c r="A14" s="1" t="s">
        <v>51</v>
      </c>
      <c r="B14" s="8">
        <v>260.0</v>
      </c>
      <c r="C14" s="8"/>
      <c r="D14" s="33"/>
    </row>
    <row r="15">
      <c r="A15" s="1" t="s">
        <v>40</v>
      </c>
      <c r="B15" s="8">
        <v>2900.0</v>
      </c>
      <c r="C15" s="8"/>
      <c r="D15" s="33"/>
    </row>
    <row r="16">
      <c r="A16" s="1" t="s">
        <v>47</v>
      </c>
      <c r="B16" s="8">
        <v>1900.0</v>
      </c>
      <c r="C16" s="8"/>
      <c r="D16" s="33"/>
    </row>
    <row r="17">
      <c r="A17" s="1" t="s">
        <v>56</v>
      </c>
      <c r="B17" s="8">
        <v>2851.0</v>
      </c>
      <c r="C17" s="8" t="s">
        <v>1266</v>
      </c>
      <c r="D17" s="3"/>
    </row>
    <row r="18">
      <c r="A18" s="1" t="s">
        <v>51</v>
      </c>
      <c r="B18" s="8">
        <v>350.0</v>
      </c>
      <c r="C18" s="8"/>
      <c r="D18" s="25"/>
    </row>
    <row r="19">
      <c r="A19" s="1" t="s">
        <v>56</v>
      </c>
      <c r="B19" s="8">
        <v>81.0</v>
      </c>
      <c r="C19" s="8"/>
      <c r="D19" s="33"/>
    </row>
    <row r="20">
      <c r="A20" s="1" t="s">
        <v>56</v>
      </c>
      <c r="B20" s="1">
        <v>170.0</v>
      </c>
      <c r="C20" s="8" t="s">
        <v>1267</v>
      </c>
      <c r="D20" s="33"/>
    </row>
    <row r="21">
      <c r="A21" s="1" t="s">
        <v>56</v>
      </c>
      <c r="B21" s="30">
        <v>95.0</v>
      </c>
      <c r="C21" s="8" t="s">
        <v>896</v>
      </c>
      <c r="D21" s="33"/>
    </row>
    <row r="22">
      <c r="A22" s="1" t="s">
        <v>36</v>
      </c>
      <c r="B22" s="8">
        <v>50.0</v>
      </c>
      <c r="C22" s="8"/>
      <c r="D22" s="33"/>
    </row>
    <row r="23">
      <c r="A23" s="1" t="s">
        <v>36</v>
      </c>
      <c r="B23" s="8">
        <v>43.0</v>
      </c>
      <c r="C23" s="8"/>
      <c r="D23" s="33"/>
    </row>
    <row r="24">
      <c r="A24" s="1" t="s">
        <v>56</v>
      </c>
      <c r="B24" s="41">
        <v>500.0</v>
      </c>
      <c r="C24" s="8" t="s">
        <v>1268</v>
      </c>
      <c r="D24" s="33"/>
    </row>
    <row r="25">
      <c r="A25" s="1" t="s">
        <v>41</v>
      </c>
      <c r="B25" s="8">
        <v>22.0</v>
      </c>
      <c r="C25" s="8"/>
      <c r="D25" s="33"/>
    </row>
    <row r="26">
      <c r="A26" s="1" t="s">
        <v>36</v>
      </c>
      <c r="B26" s="8">
        <v>18.0</v>
      </c>
      <c r="C26" s="8"/>
      <c r="D26" s="33"/>
    </row>
    <row r="27">
      <c r="A27" s="1" t="s">
        <v>36</v>
      </c>
      <c r="B27" s="8">
        <v>11.0</v>
      </c>
      <c r="C27" s="8"/>
      <c r="D27" s="33"/>
    </row>
    <row r="28">
      <c r="A28" s="1" t="s">
        <v>36</v>
      </c>
      <c r="B28" s="8">
        <v>40.0</v>
      </c>
      <c r="C28" s="8"/>
      <c r="D28" s="33"/>
    </row>
    <row r="29">
      <c r="A29" s="1" t="s">
        <v>41</v>
      </c>
      <c r="B29" s="8">
        <v>18.0</v>
      </c>
      <c r="C29" s="8"/>
      <c r="D29" s="33"/>
    </row>
    <row r="30">
      <c r="A30" s="1" t="s">
        <v>56</v>
      </c>
      <c r="B30" s="8">
        <v>35.0</v>
      </c>
      <c r="C30" s="8" t="s">
        <v>934</v>
      </c>
      <c r="D30" s="35"/>
    </row>
    <row r="31">
      <c r="A31" s="1" t="s">
        <v>41</v>
      </c>
      <c r="B31" s="8">
        <v>8.0</v>
      </c>
      <c r="C31" s="8"/>
      <c r="D31" s="33"/>
    </row>
    <row r="32">
      <c r="A32" s="1" t="s">
        <v>50</v>
      </c>
      <c r="B32" s="8">
        <v>40.0</v>
      </c>
      <c r="C32" s="8"/>
      <c r="D32" s="33"/>
    </row>
    <row r="33">
      <c r="A33" s="1" t="s">
        <v>36</v>
      </c>
      <c r="B33" s="8">
        <v>11.0</v>
      </c>
      <c r="C33" s="8"/>
      <c r="D33" s="33"/>
    </row>
    <row r="34">
      <c r="A34" s="1" t="s">
        <v>36</v>
      </c>
      <c r="B34" s="1">
        <v>10.0</v>
      </c>
      <c r="C34" s="42"/>
      <c r="D34" s="33"/>
    </row>
    <row r="35">
      <c r="A35" s="1" t="s">
        <v>307</v>
      </c>
      <c r="B35" s="8">
        <v>600.0</v>
      </c>
      <c r="C35" s="8"/>
      <c r="D35" s="33"/>
    </row>
    <row r="36">
      <c r="A36" s="1" t="s">
        <v>73</v>
      </c>
      <c r="B36" s="41">
        <v>150.0</v>
      </c>
      <c r="C36" s="8"/>
      <c r="D36" s="33"/>
    </row>
    <row r="37">
      <c r="A37" s="1" t="s">
        <v>41</v>
      </c>
      <c r="B37" s="8">
        <v>8.0</v>
      </c>
      <c r="C37" s="8"/>
      <c r="D37" s="33"/>
    </row>
    <row r="38">
      <c r="A38" s="1" t="s">
        <v>36</v>
      </c>
      <c r="B38" s="8">
        <v>270.0</v>
      </c>
      <c r="C38" s="8"/>
      <c r="D38" s="33"/>
    </row>
    <row r="39">
      <c r="A39" s="1" t="s">
        <v>56</v>
      </c>
      <c r="B39" s="8">
        <v>165.0</v>
      </c>
      <c r="C39" s="8" t="s">
        <v>1269</v>
      </c>
      <c r="D39" s="33"/>
    </row>
    <row r="40">
      <c r="A40" s="1" t="s">
        <v>37</v>
      </c>
      <c r="B40" s="8">
        <v>8.0</v>
      </c>
      <c r="C40" s="8"/>
      <c r="D40" s="33"/>
    </row>
    <row r="41">
      <c r="A41" s="1" t="s">
        <v>36</v>
      </c>
      <c r="B41" s="8">
        <v>55.0</v>
      </c>
      <c r="C41" s="8"/>
      <c r="D41" s="33"/>
    </row>
    <row r="42">
      <c r="A42" s="1" t="s">
        <v>80</v>
      </c>
      <c r="B42" s="8">
        <v>13.0</v>
      </c>
      <c r="C42" s="8"/>
      <c r="D42" s="33"/>
    </row>
    <row r="43">
      <c r="A43" s="1" t="s">
        <v>41</v>
      </c>
      <c r="B43" s="8">
        <v>8.0</v>
      </c>
      <c r="C43" s="8"/>
      <c r="D43" s="33"/>
    </row>
    <row r="44">
      <c r="A44" s="1" t="s">
        <v>56</v>
      </c>
      <c r="B44" s="8">
        <v>75.0</v>
      </c>
      <c r="C44" s="8" t="s">
        <v>1270</v>
      </c>
      <c r="D44" s="33"/>
    </row>
    <row r="45">
      <c r="A45" s="1" t="s">
        <v>41</v>
      </c>
      <c r="B45" s="8">
        <v>8.0</v>
      </c>
      <c r="C45" s="8"/>
      <c r="D45" s="33"/>
    </row>
    <row r="46">
      <c r="A46" s="1" t="s">
        <v>42</v>
      </c>
      <c r="B46" s="8">
        <v>90.0</v>
      </c>
      <c r="C46" s="8"/>
      <c r="D46" s="33"/>
    </row>
    <row r="47">
      <c r="A47" s="1" t="s">
        <v>56</v>
      </c>
      <c r="B47" s="8">
        <v>22.0</v>
      </c>
      <c r="C47" s="8" t="s">
        <v>1052</v>
      </c>
      <c r="D47" s="33"/>
    </row>
    <row r="48">
      <c r="A48" s="1" t="s">
        <v>56</v>
      </c>
      <c r="B48" s="8">
        <v>200.0</v>
      </c>
      <c r="C48" s="8" t="s">
        <v>890</v>
      </c>
      <c r="D48" s="33"/>
    </row>
    <row r="49">
      <c r="A49" s="1" t="s">
        <v>41</v>
      </c>
      <c r="B49" s="8">
        <v>15.0</v>
      </c>
      <c r="C49" s="8"/>
      <c r="D49" s="33"/>
    </row>
    <row r="50">
      <c r="A50" s="1" t="s">
        <v>36</v>
      </c>
      <c r="B50" s="8">
        <v>140.0</v>
      </c>
      <c r="C50" s="8"/>
      <c r="D50" s="33"/>
    </row>
    <row r="51">
      <c r="A51" s="1" t="s">
        <v>56</v>
      </c>
      <c r="B51" s="8">
        <v>30.0</v>
      </c>
      <c r="C51" s="8" t="s">
        <v>1271</v>
      </c>
      <c r="D51" s="33"/>
    </row>
    <row r="52">
      <c r="A52" s="1" t="s">
        <v>36</v>
      </c>
      <c r="B52" s="8">
        <v>17.0</v>
      </c>
      <c r="C52" s="8"/>
      <c r="D52" s="33"/>
    </row>
    <row r="53">
      <c r="A53" s="1" t="s">
        <v>56</v>
      </c>
      <c r="B53" s="8">
        <v>60.0</v>
      </c>
      <c r="C53" s="8"/>
      <c r="D53" s="33"/>
    </row>
    <row r="54">
      <c r="A54" s="1" t="s">
        <v>36</v>
      </c>
      <c r="B54" s="8">
        <v>62.0</v>
      </c>
      <c r="C54" s="8"/>
      <c r="D54" s="33"/>
    </row>
    <row r="55">
      <c r="A55" s="1" t="s">
        <v>42</v>
      </c>
      <c r="B55" s="8">
        <v>11.0</v>
      </c>
      <c r="C55" s="8"/>
      <c r="D55" s="33"/>
    </row>
    <row r="56">
      <c r="A56" s="1" t="s">
        <v>37</v>
      </c>
      <c r="B56" s="8">
        <v>40.0</v>
      </c>
      <c r="C56" s="8"/>
      <c r="D56" s="33"/>
    </row>
    <row r="57">
      <c r="A57" s="1" t="s">
        <v>41</v>
      </c>
      <c r="B57" s="8">
        <v>14.0</v>
      </c>
      <c r="C57" s="8"/>
      <c r="D57" s="33"/>
    </row>
    <row r="58">
      <c r="A58" s="1" t="s">
        <v>56</v>
      </c>
      <c r="B58" s="8">
        <v>80.0</v>
      </c>
      <c r="C58" s="8" t="s">
        <v>1272</v>
      </c>
      <c r="D58" s="33"/>
    </row>
    <row r="59">
      <c r="A59" s="1" t="s">
        <v>41</v>
      </c>
      <c r="B59" s="8">
        <v>13.0</v>
      </c>
      <c r="C59" s="8"/>
      <c r="D59" s="33"/>
    </row>
    <row r="60">
      <c r="A60" s="1" t="s">
        <v>772</v>
      </c>
      <c r="B60" s="8">
        <v>35.0</v>
      </c>
      <c r="C60" s="8"/>
      <c r="D60" s="33"/>
    </row>
    <row r="61">
      <c r="A61" s="1" t="s">
        <v>772</v>
      </c>
      <c r="B61" s="8">
        <v>65.0</v>
      </c>
      <c r="C61" s="8"/>
      <c r="D61" s="33"/>
    </row>
    <row r="62">
      <c r="A62" s="1" t="s">
        <v>56</v>
      </c>
      <c r="B62" s="8">
        <v>81.0</v>
      </c>
      <c r="C62" s="8" t="s">
        <v>1273</v>
      </c>
      <c r="D62" s="33"/>
    </row>
    <row r="63">
      <c r="A63" s="1" t="s">
        <v>56</v>
      </c>
      <c r="B63" s="8">
        <v>31.0</v>
      </c>
      <c r="C63" s="8" t="s">
        <v>1274</v>
      </c>
      <c r="D63" s="33"/>
    </row>
    <row r="64">
      <c r="A64" s="1" t="s">
        <v>56</v>
      </c>
      <c r="B64" s="8">
        <v>84.0</v>
      </c>
      <c r="C64" s="8" t="s">
        <v>1275</v>
      </c>
      <c r="D64" s="33"/>
    </row>
    <row r="65">
      <c r="A65" s="1" t="s">
        <v>56</v>
      </c>
      <c r="B65" s="8">
        <v>60.0</v>
      </c>
      <c r="C65" s="8" t="s">
        <v>1083</v>
      </c>
      <c r="D65" s="33"/>
    </row>
    <row r="66">
      <c r="A66" s="1" t="s">
        <v>56</v>
      </c>
      <c r="B66" s="8">
        <v>64.0</v>
      </c>
      <c r="C66" s="8" t="s">
        <v>1276</v>
      </c>
      <c r="D66" s="33"/>
    </row>
    <row r="67">
      <c r="A67" s="1" t="s">
        <v>36</v>
      </c>
      <c r="B67" s="8">
        <v>14.0</v>
      </c>
      <c r="C67" s="8"/>
      <c r="D67" s="33"/>
    </row>
    <row r="68">
      <c r="A68" s="1" t="s">
        <v>41</v>
      </c>
      <c r="B68" s="8">
        <v>17.0</v>
      </c>
      <c r="C68" s="8"/>
      <c r="D68" s="33"/>
    </row>
    <row r="69">
      <c r="A69" s="1" t="s">
        <v>772</v>
      </c>
      <c r="B69" s="8">
        <v>19.0</v>
      </c>
      <c r="C69" s="8"/>
      <c r="D69" s="33"/>
    </row>
    <row r="70">
      <c r="A70" s="1" t="s">
        <v>56</v>
      </c>
      <c r="B70" s="8">
        <v>84.0</v>
      </c>
      <c r="C70" s="8" t="s">
        <v>1277</v>
      </c>
      <c r="D70" s="33"/>
    </row>
    <row r="71">
      <c r="A71" s="1" t="s">
        <v>50</v>
      </c>
      <c r="B71" s="8">
        <v>100.0</v>
      </c>
      <c r="C71" s="8"/>
      <c r="D71" s="33"/>
    </row>
    <row r="72">
      <c r="A72" s="1" t="s">
        <v>58</v>
      </c>
      <c r="B72" s="8">
        <v>290.0</v>
      </c>
      <c r="C72" s="8"/>
      <c r="D72" s="33"/>
    </row>
    <row r="73">
      <c r="A73" s="1" t="s">
        <v>37</v>
      </c>
      <c r="B73" s="8">
        <v>110.0</v>
      </c>
      <c r="C73" s="8" t="s">
        <v>1278</v>
      </c>
      <c r="D73" s="35"/>
    </row>
    <row r="74">
      <c r="A74" s="1" t="s">
        <v>56</v>
      </c>
      <c r="B74" s="8">
        <v>540.0</v>
      </c>
      <c r="C74" s="8" t="s">
        <v>1279</v>
      </c>
      <c r="D74" s="33"/>
    </row>
    <row r="75">
      <c r="A75" s="1" t="s">
        <v>50</v>
      </c>
      <c r="B75" s="8">
        <v>230.0</v>
      </c>
      <c r="C75" s="8" t="s">
        <v>1280</v>
      </c>
      <c r="D75" s="33"/>
    </row>
    <row r="76">
      <c r="A76" s="1" t="s">
        <v>56</v>
      </c>
      <c r="B76" s="8">
        <v>70.0</v>
      </c>
      <c r="C76" s="8" t="s">
        <v>1281</v>
      </c>
      <c r="D76" s="33"/>
    </row>
    <row r="77">
      <c r="A77" s="1" t="s">
        <v>41</v>
      </c>
      <c r="B77" s="8">
        <v>23.0</v>
      </c>
      <c r="C77" s="8"/>
      <c r="D77" s="33"/>
    </row>
    <row r="78">
      <c r="A78" s="1" t="s">
        <v>58</v>
      </c>
      <c r="B78" s="8">
        <v>1424.0</v>
      </c>
      <c r="C78" s="8" t="s">
        <v>1282</v>
      </c>
      <c r="D78" s="3"/>
    </row>
    <row r="79">
      <c r="A79" s="1" t="s">
        <v>47</v>
      </c>
      <c r="B79" s="8">
        <v>105.0</v>
      </c>
      <c r="C79" s="8" t="s">
        <v>1283</v>
      </c>
      <c r="D79" s="25"/>
    </row>
    <row r="80">
      <c r="A80" s="1" t="s">
        <v>37</v>
      </c>
      <c r="B80" s="8">
        <v>214.0</v>
      </c>
      <c r="C80" s="8" t="s">
        <v>1284</v>
      </c>
      <c r="D80" s="25"/>
    </row>
    <row r="81">
      <c r="A81" s="1" t="s">
        <v>51</v>
      </c>
      <c r="B81" s="8">
        <v>313.0</v>
      </c>
      <c r="C81" s="8"/>
      <c r="D81" s="25"/>
    </row>
    <row r="82">
      <c r="A82" s="1" t="s">
        <v>37</v>
      </c>
      <c r="B82" s="8">
        <v>117.0</v>
      </c>
      <c r="C82" s="8" t="s">
        <v>1284</v>
      </c>
      <c r="D82" s="25"/>
    </row>
    <row r="83">
      <c r="A83" s="1" t="s">
        <v>201</v>
      </c>
      <c r="B83" s="8">
        <v>1826.0</v>
      </c>
      <c r="C83" s="8"/>
      <c r="D83" s="25"/>
    </row>
    <row r="84">
      <c r="A84" s="1" t="s">
        <v>51</v>
      </c>
      <c r="B84" s="8">
        <v>258.0</v>
      </c>
      <c r="C84" s="2"/>
      <c r="D84" s="25"/>
    </row>
    <row r="85">
      <c r="A85" s="1" t="s">
        <v>36</v>
      </c>
      <c r="B85" s="8">
        <v>161.0</v>
      </c>
      <c r="C85" s="2"/>
      <c r="D85" s="25"/>
    </row>
    <row r="86">
      <c r="A86" s="1" t="s">
        <v>56</v>
      </c>
      <c r="B86" s="8">
        <v>289.0</v>
      </c>
      <c r="C86" s="2"/>
      <c r="D86" s="25"/>
    </row>
    <row r="87">
      <c r="A87" s="1" t="s">
        <v>56</v>
      </c>
      <c r="B87" s="8">
        <v>30.0</v>
      </c>
      <c r="C87" s="2"/>
      <c r="D87" s="25"/>
    </row>
    <row r="88">
      <c r="A88" s="1" t="s">
        <v>50</v>
      </c>
      <c r="B88" s="8">
        <v>220.0</v>
      </c>
      <c r="C88" s="8" t="s">
        <v>1285</v>
      </c>
      <c r="D88" s="25"/>
    </row>
    <row r="89">
      <c r="A89" s="1" t="s">
        <v>36</v>
      </c>
      <c r="B89" s="8">
        <v>7.0</v>
      </c>
      <c r="C89" s="2"/>
      <c r="D89" s="25"/>
    </row>
    <row r="90">
      <c r="A90" s="1" t="s">
        <v>56</v>
      </c>
      <c r="B90" s="8">
        <v>40.0</v>
      </c>
      <c r="C90" s="2"/>
      <c r="D90" s="25"/>
    </row>
    <row r="91">
      <c r="A91" s="1" t="s">
        <v>36</v>
      </c>
      <c r="B91" s="8">
        <v>30.0</v>
      </c>
      <c r="C91" s="2"/>
      <c r="D91" s="25"/>
    </row>
    <row r="92">
      <c r="A92" s="1" t="s">
        <v>36</v>
      </c>
      <c r="B92" s="8">
        <v>13.0</v>
      </c>
      <c r="C92" s="2"/>
      <c r="D92" s="25"/>
    </row>
    <row r="93">
      <c r="A93" s="1" t="s">
        <v>47</v>
      </c>
      <c r="B93" s="8">
        <v>630.0</v>
      </c>
      <c r="C93" s="8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93">
        <sortState ref="A2:D93">
          <sortCondition ref="D2:D93"/>
          <sortCondition ref="B2:B93"/>
        </sortState>
      </autoFilter>
    </customSheetView>
  </customSheetViews>
  <mergeCells count="2">
    <mergeCell ref="A1:B1"/>
    <mergeCell ref="E1:F1"/>
  </mergeCells>
  <conditionalFormatting sqref="D6:D98">
    <cfRule type="notContainsBlanks" dxfId="1" priority="1">
      <formula>LEN(TRIM(D6))&gt;0</formula>
    </cfRule>
  </conditionalFormatting>
  <dataValidations>
    <dataValidation type="list" allowBlank="1" sqref="A3:A98">
      <formula1>kategorie!$A$1:$A$50</formula1>
    </dataValidation>
    <dataValidation type="custom" allowBlank="1" showDropDown="1" sqref="D3:D96">
      <formula1>OR(NOT(ISERROR(DATEVALUE(D3))), AND(ISNUMBER(D3), LEFT(CELL("format", D3))="D"))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6865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8">
        <v>2390.0</v>
      </c>
      <c r="C3" s="8" t="s">
        <v>1286</v>
      </c>
      <c r="D3" s="33"/>
      <c r="E3" s="1" t="s">
        <v>34</v>
      </c>
      <c r="F3" s="8">
        <v>23164.0</v>
      </c>
      <c r="H3" s="8">
        <f>Zbiorczy!D25</f>
        <v>67719.29</v>
      </c>
      <c r="J3" s="3">
        <f t="shared" ref="J3:J7" si="1">SUMIF($A$3:A$101, K3, B$3:B$101)</f>
        <v>1830</v>
      </c>
      <c r="K3" s="1" t="s">
        <v>35</v>
      </c>
      <c r="M3" s="3">
        <f t="shared" ref="M3:M7" si="2">SUMIF($A$3:A$101, N3, B$3:B$101)</f>
        <v>1600</v>
      </c>
      <c r="N3" s="1" t="s">
        <v>36</v>
      </c>
    </row>
    <row r="4">
      <c r="A4" s="1" t="s">
        <v>47</v>
      </c>
      <c r="B4" s="8">
        <v>350.0</v>
      </c>
      <c r="C4" s="8"/>
      <c r="D4" s="33"/>
      <c r="E4" s="1" t="s">
        <v>1233</v>
      </c>
      <c r="F4" s="8">
        <v>300.0</v>
      </c>
      <c r="J4" s="3">
        <f t="shared" si="1"/>
        <v>0</v>
      </c>
      <c r="K4" s="1" t="s">
        <v>40</v>
      </c>
      <c r="M4" s="3">
        <f t="shared" si="2"/>
        <v>40</v>
      </c>
      <c r="N4" s="1" t="s">
        <v>41</v>
      </c>
    </row>
    <row r="5">
      <c r="A5" s="1" t="s">
        <v>56</v>
      </c>
      <c r="B5" s="8">
        <v>50.0</v>
      </c>
      <c r="C5" s="8"/>
      <c r="D5" s="35"/>
      <c r="J5" s="3">
        <f t="shared" si="1"/>
        <v>2678</v>
      </c>
      <c r="K5" s="1" t="s">
        <v>46</v>
      </c>
      <c r="M5" s="3">
        <f t="shared" si="2"/>
        <v>350</v>
      </c>
      <c r="N5" s="1" t="s">
        <v>47</v>
      </c>
    </row>
    <row r="6">
      <c r="A6" s="1" t="s">
        <v>36</v>
      </c>
      <c r="B6" s="8">
        <v>19.0</v>
      </c>
      <c r="C6" s="8"/>
      <c r="D6" s="35"/>
      <c r="J6" s="3">
        <f t="shared" si="1"/>
        <v>1590</v>
      </c>
      <c r="K6" s="1" t="s">
        <v>50</v>
      </c>
      <c r="M6" s="3">
        <f t="shared" si="2"/>
        <v>520</v>
      </c>
      <c r="N6" s="1" t="s">
        <v>51</v>
      </c>
    </row>
    <row r="7">
      <c r="A7" s="1" t="s">
        <v>842</v>
      </c>
      <c r="B7" s="8">
        <v>34.0</v>
      </c>
      <c r="C7" s="40"/>
      <c r="D7" s="33"/>
      <c r="J7" s="3">
        <f t="shared" si="1"/>
        <v>767</v>
      </c>
      <c r="K7" s="1" t="s">
        <v>55</v>
      </c>
      <c r="M7" s="3">
        <f t="shared" si="2"/>
        <v>7367.29</v>
      </c>
      <c r="N7" s="1" t="s">
        <v>56</v>
      </c>
    </row>
    <row r="8">
      <c r="A8" s="1" t="s">
        <v>36</v>
      </c>
      <c r="B8" s="1">
        <v>90.0</v>
      </c>
      <c r="D8" s="33"/>
    </row>
    <row r="9">
      <c r="A9" s="1" t="s">
        <v>56</v>
      </c>
      <c r="B9" s="8">
        <v>22.0</v>
      </c>
      <c r="C9" s="8"/>
      <c r="D9" s="33"/>
    </row>
    <row r="10">
      <c r="A10" s="1" t="s">
        <v>50</v>
      </c>
      <c r="B10" s="8">
        <v>1370.0</v>
      </c>
      <c r="C10" s="8"/>
      <c r="D10" s="35"/>
    </row>
    <row r="11">
      <c r="A11" s="1" t="s">
        <v>56</v>
      </c>
      <c r="B11" s="8">
        <v>12.0</v>
      </c>
      <c r="C11" s="8"/>
      <c r="D11" s="35"/>
    </row>
    <row r="12">
      <c r="A12" s="1" t="s">
        <v>41</v>
      </c>
      <c r="B12" s="8">
        <v>30.0</v>
      </c>
      <c r="C12" s="8"/>
      <c r="D12" s="35"/>
    </row>
    <row r="13">
      <c r="A13" s="1" t="s">
        <v>307</v>
      </c>
      <c r="B13" s="8">
        <v>230.0</v>
      </c>
      <c r="C13" s="8"/>
      <c r="D13" s="33"/>
    </row>
    <row r="14">
      <c r="A14" s="1" t="s">
        <v>148</v>
      </c>
      <c r="B14" s="8">
        <v>40.0</v>
      </c>
      <c r="C14" s="8"/>
      <c r="D14" s="33"/>
    </row>
    <row r="15">
      <c r="A15" s="1" t="s">
        <v>36</v>
      </c>
      <c r="B15" s="8">
        <v>81.0</v>
      </c>
      <c r="C15" s="8"/>
      <c r="D15" s="33"/>
    </row>
    <row r="16">
      <c r="A16" s="1" t="s">
        <v>58</v>
      </c>
      <c r="B16" s="8">
        <v>345.0</v>
      </c>
      <c r="C16" s="8" t="s">
        <v>782</v>
      </c>
      <c r="D16" s="33"/>
    </row>
    <row r="17">
      <c r="A17" s="1" t="s">
        <v>58</v>
      </c>
      <c r="B17" s="8">
        <v>83.0</v>
      </c>
      <c r="C17" s="8" t="s">
        <v>783</v>
      </c>
      <c r="D17" s="33"/>
    </row>
    <row r="18">
      <c r="A18" s="1" t="s">
        <v>148</v>
      </c>
      <c r="B18" s="8">
        <v>23.0</v>
      </c>
      <c r="C18" s="8"/>
      <c r="D18" s="25"/>
    </row>
    <row r="19">
      <c r="A19" s="1" t="s">
        <v>56</v>
      </c>
      <c r="B19" s="8">
        <v>54.0</v>
      </c>
      <c r="C19" s="8"/>
      <c r="D19" s="33"/>
    </row>
    <row r="20">
      <c r="A20" s="1" t="s">
        <v>36</v>
      </c>
      <c r="B20" s="1">
        <v>140.0</v>
      </c>
      <c r="C20" s="8"/>
      <c r="D20" s="33"/>
    </row>
    <row r="21">
      <c r="A21" s="1" t="s">
        <v>36</v>
      </c>
      <c r="B21" s="30">
        <v>94.0</v>
      </c>
      <c r="C21" s="8"/>
      <c r="D21" s="33"/>
    </row>
    <row r="22">
      <c r="A22" s="1" t="s">
        <v>73</v>
      </c>
      <c r="B22" s="8">
        <v>150.0</v>
      </c>
      <c r="C22" s="8" t="s">
        <v>1256</v>
      </c>
      <c r="D22" s="33"/>
    </row>
    <row r="23">
      <c r="A23" s="1" t="s">
        <v>42</v>
      </c>
      <c r="B23" s="8">
        <v>210.0</v>
      </c>
      <c r="C23" s="8"/>
      <c r="D23" s="33"/>
    </row>
    <row r="24">
      <c r="A24" s="1" t="s">
        <v>36</v>
      </c>
      <c r="B24" s="41">
        <v>46.0</v>
      </c>
      <c r="C24" s="8"/>
      <c r="D24" s="33"/>
    </row>
    <row r="25">
      <c r="A25" s="1" t="s">
        <v>36</v>
      </c>
      <c r="B25" s="8">
        <v>20.0</v>
      </c>
      <c r="C25" s="8"/>
      <c r="D25" s="33"/>
    </row>
    <row r="26">
      <c r="A26" s="1" t="s">
        <v>56</v>
      </c>
      <c r="B26" s="8">
        <v>100.0</v>
      </c>
      <c r="C26" s="8" t="s">
        <v>1287</v>
      </c>
      <c r="D26" s="33"/>
    </row>
    <row r="27">
      <c r="A27" s="1" t="s">
        <v>56</v>
      </c>
      <c r="B27" s="8">
        <v>100.0</v>
      </c>
      <c r="C27" s="8"/>
      <c r="D27" s="33"/>
    </row>
    <row r="28">
      <c r="A28" s="1" t="s">
        <v>56</v>
      </c>
      <c r="B28" s="8">
        <v>200.0</v>
      </c>
      <c r="C28" s="8"/>
      <c r="D28" s="33"/>
    </row>
    <row r="29">
      <c r="A29" s="1" t="s">
        <v>56</v>
      </c>
      <c r="B29" s="8">
        <v>170.0</v>
      </c>
      <c r="C29" s="8"/>
      <c r="D29" s="33"/>
    </row>
    <row r="30">
      <c r="A30" s="1" t="s">
        <v>56</v>
      </c>
      <c r="B30" s="8">
        <v>330.0</v>
      </c>
      <c r="C30" s="8" t="s">
        <v>1288</v>
      </c>
      <c r="D30" s="35"/>
    </row>
    <row r="31">
      <c r="A31" s="1" t="s">
        <v>37</v>
      </c>
      <c r="B31" s="8">
        <v>8.0</v>
      </c>
      <c r="C31" s="8"/>
      <c r="D31" s="33"/>
    </row>
    <row r="32">
      <c r="A32" s="1" t="s">
        <v>36</v>
      </c>
      <c r="B32" s="8">
        <v>110.0</v>
      </c>
      <c r="C32" s="8"/>
      <c r="D32" s="33"/>
    </row>
    <row r="33">
      <c r="A33" s="1" t="s">
        <v>73</v>
      </c>
      <c r="B33" s="8">
        <v>150.0</v>
      </c>
      <c r="C33" s="8" t="s">
        <v>1179</v>
      </c>
      <c r="D33" s="33"/>
    </row>
    <row r="34">
      <c r="A34" s="1" t="s">
        <v>46</v>
      </c>
      <c r="B34" s="8">
        <v>2660.0</v>
      </c>
      <c r="C34" s="42"/>
      <c r="D34" s="33"/>
    </row>
    <row r="35">
      <c r="A35" s="1" t="s">
        <v>36</v>
      </c>
      <c r="B35" s="8">
        <v>6.0</v>
      </c>
      <c r="C35" s="8"/>
      <c r="D35" s="33"/>
    </row>
    <row r="36">
      <c r="A36" s="1" t="s">
        <v>46</v>
      </c>
      <c r="B36" s="41">
        <v>18.0</v>
      </c>
      <c r="C36" s="8"/>
      <c r="D36" s="33"/>
    </row>
    <row r="37">
      <c r="A37" s="1" t="s">
        <v>201</v>
      </c>
      <c r="B37" s="8">
        <v>1830.0</v>
      </c>
      <c r="C37" s="8"/>
      <c r="D37" s="33"/>
    </row>
    <row r="38">
      <c r="A38" s="1" t="s">
        <v>36</v>
      </c>
      <c r="B38" s="8">
        <v>32.0</v>
      </c>
      <c r="C38" s="8"/>
      <c r="D38" s="33"/>
    </row>
    <row r="39">
      <c r="A39" s="1" t="s">
        <v>56</v>
      </c>
      <c r="B39" s="8">
        <v>50.0</v>
      </c>
      <c r="C39" s="8" t="s">
        <v>1289</v>
      </c>
      <c r="D39" s="33"/>
    </row>
    <row r="40">
      <c r="A40" s="1" t="s">
        <v>56</v>
      </c>
      <c r="B40" s="8">
        <v>60.0</v>
      </c>
      <c r="C40" s="8" t="s">
        <v>1243</v>
      </c>
      <c r="D40" s="33"/>
    </row>
    <row r="41">
      <c r="A41" s="1" t="s">
        <v>56</v>
      </c>
      <c r="B41" s="8">
        <v>330.0</v>
      </c>
      <c r="C41" s="8" t="s">
        <v>1290</v>
      </c>
      <c r="D41" s="33"/>
    </row>
    <row r="42">
      <c r="A42" s="1" t="s">
        <v>56</v>
      </c>
      <c r="B42" s="8">
        <v>300.0</v>
      </c>
      <c r="C42" s="8" t="s">
        <v>1291</v>
      </c>
      <c r="D42" s="33"/>
    </row>
    <row r="43">
      <c r="A43" s="1" t="s">
        <v>56</v>
      </c>
      <c r="B43" s="8">
        <v>1400.0</v>
      </c>
      <c r="C43" s="8" t="s">
        <v>1292</v>
      </c>
      <c r="D43" s="33"/>
    </row>
    <row r="44">
      <c r="A44" s="1" t="s">
        <v>36</v>
      </c>
      <c r="B44" s="8">
        <v>85.0</v>
      </c>
      <c r="C44" s="8"/>
      <c r="D44" s="33"/>
    </row>
    <row r="45">
      <c r="A45" s="1" t="s">
        <v>56</v>
      </c>
      <c r="B45" s="8">
        <v>225.0</v>
      </c>
      <c r="C45" s="8" t="s">
        <v>1293</v>
      </c>
      <c r="D45" s="33"/>
    </row>
    <row r="46">
      <c r="A46" s="1" t="s">
        <v>56</v>
      </c>
      <c r="B46" s="8">
        <v>15.0</v>
      </c>
      <c r="C46" s="8" t="s">
        <v>1294</v>
      </c>
      <c r="D46" s="33"/>
    </row>
    <row r="47">
      <c r="A47" s="1" t="s">
        <v>50</v>
      </c>
      <c r="B47" s="8">
        <v>100.0</v>
      </c>
      <c r="C47" s="8" t="s">
        <v>964</v>
      </c>
      <c r="D47" s="33"/>
    </row>
    <row r="48">
      <c r="A48" s="1" t="s">
        <v>36</v>
      </c>
      <c r="B48" s="8">
        <v>50.0</v>
      </c>
      <c r="C48" s="8"/>
      <c r="D48" s="33"/>
    </row>
    <row r="49">
      <c r="A49" s="1" t="s">
        <v>50</v>
      </c>
      <c r="B49" s="8">
        <v>120.0</v>
      </c>
      <c r="C49" s="8"/>
      <c r="D49" s="33"/>
    </row>
    <row r="50">
      <c r="A50" s="1" t="s">
        <v>36</v>
      </c>
      <c r="B50" s="8">
        <v>240.0</v>
      </c>
      <c r="C50" s="8"/>
      <c r="D50" s="33"/>
    </row>
    <row r="51">
      <c r="A51" s="1" t="s">
        <v>56</v>
      </c>
      <c r="B51" s="8">
        <v>77.0</v>
      </c>
      <c r="C51" s="8"/>
      <c r="D51" s="33"/>
    </row>
    <row r="52">
      <c r="A52" s="1" t="s">
        <v>148</v>
      </c>
      <c r="B52" s="8">
        <v>80.0</v>
      </c>
      <c r="C52" s="8"/>
      <c r="D52" s="33"/>
    </row>
    <row r="53">
      <c r="A53" s="1" t="s">
        <v>56</v>
      </c>
      <c r="B53" s="8">
        <v>300.0</v>
      </c>
      <c r="C53" s="8" t="s">
        <v>1107</v>
      </c>
      <c r="D53" s="33"/>
    </row>
    <row r="54">
      <c r="A54" s="1" t="s">
        <v>37</v>
      </c>
      <c r="B54" s="8">
        <v>70.0</v>
      </c>
      <c r="C54" s="8"/>
      <c r="D54" s="33"/>
    </row>
    <row r="55">
      <c r="A55" s="1" t="s">
        <v>51</v>
      </c>
      <c r="B55" s="8">
        <v>360.0</v>
      </c>
      <c r="C55" s="8"/>
      <c r="D55" s="33"/>
    </row>
    <row r="56">
      <c r="A56" s="1" t="s">
        <v>51</v>
      </c>
      <c r="B56" s="8">
        <v>160.0</v>
      </c>
      <c r="C56" s="8"/>
      <c r="D56" s="33"/>
    </row>
    <row r="57">
      <c r="A57" s="1" t="s">
        <v>56</v>
      </c>
      <c r="B57" s="8">
        <v>50.0</v>
      </c>
      <c r="C57" s="8" t="s">
        <v>1295</v>
      </c>
      <c r="D57" s="33"/>
    </row>
    <row r="58">
      <c r="A58" s="1" t="s">
        <v>56</v>
      </c>
      <c r="B58" s="8">
        <v>50.0</v>
      </c>
      <c r="C58" s="8" t="s">
        <v>42</v>
      </c>
      <c r="D58" s="33"/>
    </row>
    <row r="59">
      <c r="A59" s="1" t="s">
        <v>36</v>
      </c>
      <c r="B59" s="8">
        <v>59.0</v>
      </c>
      <c r="C59" s="8" t="s">
        <v>1041</v>
      </c>
      <c r="D59" s="33"/>
    </row>
    <row r="60">
      <c r="A60" s="1" t="s">
        <v>56</v>
      </c>
      <c r="B60" s="8">
        <v>100.0</v>
      </c>
      <c r="C60" s="8" t="s">
        <v>1296</v>
      </c>
      <c r="D60" s="33"/>
      <c r="E60" s="8"/>
    </row>
    <row r="61">
      <c r="A61" s="1" t="s">
        <v>55</v>
      </c>
      <c r="B61" s="8">
        <v>537.0</v>
      </c>
      <c r="C61" s="8"/>
      <c r="D61" s="33"/>
    </row>
    <row r="62">
      <c r="A62" s="1" t="s">
        <v>55</v>
      </c>
      <c r="B62" s="8">
        <v>230.0</v>
      </c>
      <c r="C62" s="8"/>
      <c r="D62" s="33"/>
    </row>
    <row r="63">
      <c r="A63" s="1" t="s">
        <v>56</v>
      </c>
      <c r="B63" s="8">
        <v>100.0</v>
      </c>
      <c r="C63" s="8" t="s">
        <v>1297</v>
      </c>
      <c r="D63" s="33"/>
      <c r="E63" s="8"/>
    </row>
    <row r="64">
      <c r="A64" s="1" t="s">
        <v>56</v>
      </c>
      <c r="B64" s="8">
        <v>330.29</v>
      </c>
      <c r="C64" s="8" t="s">
        <v>1298</v>
      </c>
      <c r="D64" s="33"/>
      <c r="E64" s="8"/>
    </row>
    <row r="65">
      <c r="A65" s="1" t="s">
        <v>56</v>
      </c>
      <c r="B65" s="8">
        <v>510.0</v>
      </c>
      <c r="C65" s="8" t="s">
        <v>1107</v>
      </c>
      <c r="D65" s="33"/>
      <c r="E65" s="8"/>
    </row>
    <row r="66">
      <c r="A66" s="1" t="s">
        <v>36</v>
      </c>
      <c r="B66" s="8">
        <v>265.0</v>
      </c>
      <c r="C66" s="8"/>
      <c r="D66" s="33"/>
    </row>
    <row r="67">
      <c r="A67" s="1" t="s">
        <v>36</v>
      </c>
      <c r="B67" s="8">
        <v>70.0</v>
      </c>
      <c r="C67" s="8"/>
      <c r="D67" s="33"/>
    </row>
    <row r="68">
      <c r="A68" s="1" t="s">
        <v>36</v>
      </c>
      <c r="B68" s="8">
        <v>130.0</v>
      </c>
      <c r="C68" s="8"/>
      <c r="D68" s="33"/>
    </row>
    <row r="69">
      <c r="A69" s="1" t="s">
        <v>58</v>
      </c>
      <c r="B69" s="8">
        <v>290.0</v>
      </c>
      <c r="C69" s="8"/>
      <c r="D69" s="33"/>
    </row>
    <row r="70">
      <c r="A70" s="1" t="s">
        <v>41</v>
      </c>
      <c r="B70" s="8">
        <v>10.0</v>
      </c>
      <c r="C70" s="8"/>
      <c r="D70" s="33"/>
    </row>
    <row r="71">
      <c r="A71" s="1" t="s">
        <v>58</v>
      </c>
      <c r="B71" s="8">
        <v>190.0</v>
      </c>
      <c r="C71" s="8" t="s">
        <v>1299</v>
      </c>
      <c r="D71" s="33"/>
    </row>
    <row r="72">
      <c r="A72" s="1" t="s">
        <v>36</v>
      </c>
      <c r="B72" s="8">
        <v>63.0</v>
      </c>
      <c r="C72" s="8"/>
      <c r="D72" s="33"/>
    </row>
    <row r="73">
      <c r="A73" s="1" t="s">
        <v>56</v>
      </c>
      <c r="B73" s="8">
        <v>42.0</v>
      </c>
      <c r="C73" s="8"/>
      <c r="D73" s="35"/>
      <c r="E73" s="8"/>
    </row>
    <row r="74">
      <c r="A74" s="1" t="s">
        <v>80</v>
      </c>
      <c r="B74" s="8">
        <v>50.0</v>
      </c>
      <c r="C74" s="8"/>
      <c r="D74" s="33"/>
    </row>
    <row r="75">
      <c r="A75" s="3"/>
      <c r="B75" s="8"/>
      <c r="C75" s="8"/>
      <c r="D75" s="33"/>
      <c r="E75" s="8"/>
    </row>
    <row r="76">
      <c r="A76" s="3"/>
      <c r="B76" s="8"/>
      <c r="C76" s="8"/>
      <c r="D76" s="33"/>
      <c r="E76" s="8"/>
    </row>
    <row r="77">
      <c r="A77" s="3"/>
      <c r="B77" s="8"/>
      <c r="C77" s="8"/>
      <c r="D77" s="33"/>
      <c r="E77" s="8"/>
    </row>
    <row r="78">
      <c r="A78" s="3"/>
      <c r="B78" s="8"/>
      <c r="C78" s="8"/>
      <c r="D78" s="33"/>
      <c r="E78" s="8"/>
    </row>
    <row r="79">
      <c r="A79" s="3"/>
      <c r="B79" s="8"/>
      <c r="C79" s="8"/>
      <c r="D79" s="25"/>
      <c r="E79" s="8"/>
    </row>
    <row r="80">
      <c r="A80" s="3"/>
      <c r="B80" s="8"/>
      <c r="C80" s="8"/>
      <c r="D80" s="25"/>
      <c r="E80" s="8"/>
    </row>
    <row r="81">
      <c r="A81" s="3"/>
      <c r="B81" s="8"/>
      <c r="C81" s="8"/>
      <c r="D81" s="25"/>
      <c r="E81" s="8"/>
    </row>
    <row r="82">
      <c r="A82" s="3"/>
      <c r="B82" s="8"/>
      <c r="C82" s="8"/>
      <c r="D82" s="25"/>
      <c r="E82" s="8"/>
    </row>
    <row r="83">
      <c r="A83" s="3"/>
      <c r="B83" s="8"/>
      <c r="C83" s="8"/>
      <c r="D83" s="25"/>
      <c r="E83" s="8"/>
    </row>
    <row r="84">
      <c r="A84" s="3"/>
      <c r="B84" s="8"/>
      <c r="C84" s="2"/>
      <c r="D84" s="25"/>
      <c r="E84" s="8"/>
    </row>
    <row r="85">
      <c r="A85" s="3"/>
      <c r="B85" s="8"/>
      <c r="C85" s="8"/>
      <c r="D85" s="25"/>
      <c r="E85" s="8"/>
    </row>
    <row r="86">
      <c r="A86" s="3"/>
      <c r="B86" s="8"/>
      <c r="C86" s="8"/>
      <c r="D86" s="25"/>
      <c r="E86" s="8"/>
    </row>
    <row r="87">
      <c r="A87" s="3"/>
      <c r="B87" s="8"/>
      <c r="C87" s="8"/>
      <c r="D87" s="25"/>
      <c r="E87" s="8"/>
    </row>
    <row r="88">
      <c r="A88" s="3"/>
      <c r="B88" s="2"/>
      <c r="C88" s="2"/>
      <c r="D88" s="25"/>
      <c r="E88" s="8"/>
    </row>
    <row r="89">
      <c r="A89" s="3"/>
      <c r="B89" s="2"/>
      <c r="C89" s="2"/>
      <c r="D89" s="25"/>
      <c r="E89" s="8"/>
    </row>
    <row r="90">
      <c r="A90" s="3"/>
      <c r="B90" s="2"/>
      <c r="C90" s="2"/>
      <c r="D90" s="25"/>
      <c r="E90" s="8"/>
    </row>
    <row r="91">
      <c r="A91" s="3"/>
      <c r="B91" s="2"/>
      <c r="C91" s="2"/>
      <c r="D91" s="25"/>
      <c r="E91" s="8"/>
    </row>
    <row r="92">
      <c r="A92" s="3"/>
      <c r="B92" s="2"/>
      <c r="C92" s="2"/>
      <c r="D92" s="25"/>
      <c r="E92" s="8"/>
    </row>
    <row r="93">
      <c r="A93" s="3"/>
      <c r="B93" s="2"/>
      <c r="C93" s="2"/>
      <c r="D93" s="25"/>
      <c r="E93" s="8"/>
    </row>
    <row r="94">
      <c r="A94" s="3"/>
      <c r="B94" s="2"/>
      <c r="C94" s="2"/>
      <c r="D94" s="25"/>
      <c r="E94" s="8"/>
    </row>
    <row r="95">
      <c r="A95" s="3"/>
      <c r="B95" s="2"/>
      <c r="C95" s="2"/>
      <c r="D95" s="25"/>
      <c r="E95" s="8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autoFilter ref="$A$2:$B$74"/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1300</v>
      </c>
      <c r="C1" s="1"/>
      <c r="E1" s="1" t="s">
        <v>27</v>
      </c>
      <c r="H1" s="1" t="s">
        <v>28</v>
      </c>
      <c r="J1" s="1" t="s">
        <v>29</v>
      </c>
      <c r="K1" s="6">
        <f>SUM(J3:J1002)</f>
        <v>7148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148</v>
      </c>
      <c r="B3" s="8">
        <v>61.0</v>
      </c>
      <c r="C3" s="8"/>
      <c r="D3" s="33"/>
      <c r="E3" s="1" t="s">
        <v>34</v>
      </c>
      <c r="F3" s="8">
        <v>22880.0</v>
      </c>
      <c r="H3" s="8">
        <f>Zbiorczy!D24</f>
        <v>59136.29</v>
      </c>
      <c r="J3" s="3">
        <f t="shared" ref="J3:J7" si="1">SUMIF($A$3:A$101, K3, B$3:B$101)</f>
        <v>1850</v>
      </c>
      <c r="K3" s="1" t="s">
        <v>35</v>
      </c>
      <c r="M3" s="3">
        <f t="shared" ref="M3:M8" si="2">SUMIF($A$3:A$101, N3, B$3:B$101)</f>
        <v>888</v>
      </c>
      <c r="N3" s="1" t="s">
        <v>36</v>
      </c>
    </row>
    <row r="4">
      <c r="A4" s="1" t="s">
        <v>56</v>
      </c>
      <c r="B4" s="8">
        <v>9.0</v>
      </c>
      <c r="C4" s="8" t="s">
        <v>42</v>
      </c>
      <c r="D4" s="33"/>
      <c r="F4" s="8"/>
      <c r="J4" s="3">
        <f t="shared" si="1"/>
        <v>2700</v>
      </c>
      <c r="K4" s="1" t="s">
        <v>40</v>
      </c>
      <c r="M4" s="3">
        <f t="shared" si="2"/>
        <v>55</v>
      </c>
      <c r="N4" s="1" t="s">
        <v>41</v>
      </c>
    </row>
    <row r="5">
      <c r="A5" s="1" t="s">
        <v>50</v>
      </c>
      <c r="B5" s="8">
        <v>1370.0</v>
      </c>
      <c r="C5" s="8"/>
      <c r="D5" s="35"/>
      <c r="J5" s="3">
        <f t="shared" si="1"/>
        <v>18</v>
      </c>
      <c r="K5" s="1" t="s">
        <v>47</v>
      </c>
      <c r="M5" s="3">
        <f t="shared" si="2"/>
        <v>18</v>
      </c>
      <c r="N5" s="1" t="s">
        <v>47</v>
      </c>
    </row>
    <row r="6">
      <c r="A6" s="1" t="s">
        <v>50</v>
      </c>
      <c r="B6" s="8">
        <v>350.0</v>
      </c>
      <c r="C6" s="8" t="s">
        <v>780</v>
      </c>
      <c r="D6" s="35"/>
      <c r="J6" s="3">
        <f t="shared" si="1"/>
        <v>1820</v>
      </c>
      <c r="K6" s="1" t="s">
        <v>50</v>
      </c>
      <c r="M6" s="3">
        <f t="shared" si="2"/>
        <v>935</v>
      </c>
      <c r="N6" s="1" t="s">
        <v>51</v>
      </c>
    </row>
    <row r="7">
      <c r="A7" s="1" t="s">
        <v>36</v>
      </c>
      <c r="B7" s="8">
        <v>73.0</v>
      </c>
      <c r="C7" s="40"/>
      <c r="D7" s="33"/>
      <c r="J7" s="3">
        <f t="shared" si="1"/>
        <v>760</v>
      </c>
      <c r="K7" s="1" t="s">
        <v>55</v>
      </c>
      <c r="M7" s="3">
        <f t="shared" si="2"/>
        <v>2612</v>
      </c>
      <c r="N7" s="1" t="s">
        <v>56</v>
      </c>
    </row>
    <row r="8">
      <c r="A8" s="1" t="s">
        <v>47</v>
      </c>
      <c r="B8" s="1">
        <v>18.0</v>
      </c>
      <c r="C8" s="1" t="s">
        <v>875</v>
      </c>
      <c r="D8" s="33"/>
      <c r="M8" s="3">
        <f t="shared" si="2"/>
        <v>18</v>
      </c>
      <c r="N8" s="1" t="s">
        <v>47</v>
      </c>
    </row>
    <row r="9">
      <c r="A9" s="1" t="s">
        <v>56</v>
      </c>
      <c r="B9" s="8">
        <v>15.0</v>
      </c>
      <c r="C9" s="8" t="s">
        <v>861</v>
      </c>
      <c r="D9" s="33"/>
    </row>
    <row r="10">
      <c r="A10" s="1" t="s">
        <v>73</v>
      </c>
      <c r="B10" s="8">
        <v>150.0</v>
      </c>
      <c r="C10" s="8" t="s">
        <v>1301</v>
      </c>
      <c r="D10" s="35"/>
    </row>
    <row r="11">
      <c r="A11" s="1" t="s">
        <v>307</v>
      </c>
      <c r="B11" s="8">
        <v>360.0</v>
      </c>
      <c r="C11" s="8"/>
      <c r="D11" s="35"/>
    </row>
    <row r="12">
      <c r="A12" s="1" t="s">
        <v>56</v>
      </c>
      <c r="B12" s="8">
        <v>4.0</v>
      </c>
      <c r="C12" s="8" t="s">
        <v>1240</v>
      </c>
      <c r="D12" s="35"/>
    </row>
    <row r="13">
      <c r="A13" s="1" t="s">
        <v>56</v>
      </c>
      <c r="B13" s="8">
        <v>711.0</v>
      </c>
      <c r="C13" s="8" t="s">
        <v>1302</v>
      </c>
      <c r="D13" s="33"/>
    </row>
    <row r="14">
      <c r="A14" s="1" t="s">
        <v>73</v>
      </c>
      <c r="B14" s="8">
        <v>450.0</v>
      </c>
      <c r="C14" s="8"/>
      <c r="D14" s="33"/>
    </row>
    <row r="15">
      <c r="A15" s="1" t="s">
        <v>56</v>
      </c>
      <c r="B15" s="8">
        <v>10.0</v>
      </c>
      <c r="C15" s="8"/>
      <c r="D15" s="33"/>
    </row>
    <row r="16">
      <c r="A16" s="1" t="s">
        <v>41</v>
      </c>
      <c r="B16" s="8">
        <v>12.0</v>
      </c>
      <c r="C16" s="8"/>
      <c r="D16" s="33"/>
    </row>
    <row r="17">
      <c r="A17" s="1" t="s">
        <v>56</v>
      </c>
      <c r="B17" s="8">
        <v>9.0</v>
      </c>
      <c r="C17" s="8" t="s">
        <v>1303</v>
      </c>
      <c r="D17" s="33"/>
    </row>
    <row r="18">
      <c r="A18" s="1" t="s">
        <v>41</v>
      </c>
      <c r="B18" s="8">
        <v>13.0</v>
      </c>
      <c r="C18" s="8"/>
      <c r="D18" s="25"/>
    </row>
    <row r="19">
      <c r="A19" s="1" t="s">
        <v>36</v>
      </c>
      <c r="B19" s="8">
        <v>30.0</v>
      </c>
      <c r="C19" s="8"/>
      <c r="D19" s="33"/>
    </row>
    <row r="20">
      <c r="A20" s="1" t="s">
        <v>56</v>
      </c>
      <c r="B20" s="1">
        <v>54.0</v>
      </c>
      <c r="C20" s="8" t="s">
        <v>1304</v>
      </c>
      <c r="D20" s="33"/>
    </row>
    <row r="21">
      <c r="A21" s="1" t="s">
        <v>42</v>
      </c>
      <c r="B21" s="30">
        <v>27.0</v>
      </c>
      <c r="C21" s="8"/>
      <c r="D21" s="33"/>
    </row>
    <row r="22">
      <c r="A22" s="1" t="s">
        <v>148</v>
      </c>
      <c r="B22" s="8">
        <v>60.0</v>
      </c>
      <c r="C22" s="8"/>
      <c r="D22" s="33"/>
    </row>
    <row r="23">
      <c r="A23" s="1" t="s">
        <v>36</v>
      </c>
      <c r="B23" s="8">
        <v>55.0</v>
      </c>
      <c r="C23" s="8"/>
      <c r="D23" s="33"/>
    </row>
    <row r="24">
      <c r="A24" s="1" t="s">
        <v>42</v>
      </c>
      <c r="B24" s="41">
        <v>30.0</v>
      </c>
      <c r="C24" s="8"/>
      <c r="D24" s="33"/>
    </row>
    <row r="25">
      <c r="A25" s="1" t="s">
        <v>56</v>
      </c>
      <c r="B25" s="8">
        <v>112.0</v>
      </c>
      <c r="C25" s="8" t="s">
        <v>1305</v>
      </c>
      <c r="D25" s="33"/>
    </row>
    <row r="26">
      <c r="A26" s="1" t="s">
        <v>80</v>
      </c>
      <c r="B26" s="8">
        <v>25.0</v>
      </c>
      <c r="C26" s="8"/>
      <c r="D26" s="33"/>
    </row>
    <row r="27">
      <c r="A27" s="1" t="s">
        <v>58</v>
      </c>
      <c r="B27" s="8">
        <v>250.0</v>
      </c>
      <c r="C27" s="8" t="s">
        <v>1107</v>
      </c>
      <c r="D27" s="33"/>
    </row>
    <row r="28">
      <c r="A28" s="1" t="s">
        <v>51</v>
      </c>
      <c r="B28" s="8">
        <v>210.0</v>
      </c>
      <c r="C28" s="8"/>
      <c r="D28" s="33"/>
    </row>
    <row r="29">
      <c r="A29" s="1" t="s">
        <v>55</v>
      </c>
      <c r="B29" s="8">
        <v>230.0</v>
      </c>
      <c r="C29" s="8" t="s">
        <v>1306</v>
      </c>
      <c r="D29" s="33"/>
    </row>
    <row r="30">
      <c r="A30" s="1" t="s">
        <v>55</v>
      </c>
      <c r="B30" s="8">
        <v>530.0</v>
      </c>
      <c r="C30" s="8" t="s">
        <v>1248</v>
      </c>
      <c r="D30" s="35"/>
    </row>
    <row r="31">
      <c r="A31" s="1" t="s">
        <v>73</v>
      </c>
      <c r="B31" s="8">
        <v>350.0</v>
      </c>
      <c r="C31" s="8" t="s">
        <v>858</v>
      </c>
      <c r="D31" s="33"/>
    </row>
    <row r="32">
      <c r="A32" s="1" t="s">
        <v>50</v>
      </c>
      <c r="B32" s="8">
        <v>100.0</v>
      </c>
      <c r="C32" s="8" t="s">
        <v>964</v>
      </c>
      <c r="D32" s="33"/>
    </row>
    <row r="33">
      <c r="A33" s="1" t="s">
        <v>36</v>
      </c>
      <c r="B33" s="8">
        <v>70.0</v>
      </c>
      <c r="C33" s="8"/>
      <c r="D33" s="33"/>
    </row>
    <row r="34">
      <c r="A34" s="1" t="s">
        <v>224</v>
      </c>
      <c r="B34" s="8">
        <v>200.0</v>
      </c>
      <c r="C34" s="42"/>
      <c r="D34" s="33"/>
    </row>
    <row r="35">
      <c r="A35" s="1" t="s">
        <v>51</v>
      </c>
      <c r="B35" s="8">
        <v>205.0</v>
      </c>
      <c r="C35" s="8"/>
      <c r="D35" s="33"/>
    </row>
    <row r="36">
      <c r="A36" s="1" t="s">
        <v>148</v>
      </c>
      <c r="B36" s="41">
        <v>65.0</v>
      </c>
      <c r="C36" s="8"/>
      <c r="D36" s="33"/>
    </row>
    <row r="37">
      <c r="A37" s="1" t="s">
        <v>36</v>
      </c>
      <c r="B37" s="8">
        <v>80.0</v>
      </c>
      <c r="C37" s="8"/>
      <c r="D37" s="33"/>
    </row>
    <row r="38">
      <c r="A38" s="1" t="s">
        <v>36</v>
      </c>
      <c r="B38" s="8">
        <v>80.0</v>
      </c>
      <c r="C38" s="8"/>
      <c r="D38" s="33"/>
    </row>
    <row r="39">
      <c r="A39" s="1" t="s">
        <v>201</v>
      </c>
      <c r="B39" s="8">
        <v>1850.0</v>
      </c>
      <c r="C39" s="8"/>
      <c r="D39" s="33"/>
    </row>
    <row r="40">
      <c r="A40" s="1" t="s">
        <v>36</v>
      </c>
      <c r="B40" s="8">
        <v>80.0</v>
      </c>
      <c r="C40" s="8"/>
      <c r="D40" s="33"/>
    </row>
    <row r="41">
      <c r="A41" s="1" t="s">
        <v>40</v>
      </c>
      <c r="B41" s="8">
        <v>2700.0</v>
      </c>
      <c r="C41" s="8"/>
      <c r="D41" s="33"/>
    </row>
    <row r="42">
      <c r="A42" s="1" t="s">
        <v>56</v>
      </c>
      <c r="B42" s="8">
        <v>460.0</v>
      </c>
      <c r="C42" s="8" t="s">
        <v>1307</v>
      </c>
      <c r="D42" s="33"/>
    </row>
    <row r="43">
      <c r="A43" s="1" t="s">
        <v>51</v>
      </c>
      <c r="B43" s="8">
        <v>250.0</v>
      </c>
      <c r="C43" s="8"/>
      <c r="D43" s="33"/>
    </row>
    <row r="44">
      <c r="A44" s="1" t="s">
        <v>56</v>
      </c>
      <c r="B44" s="8">
        <v>40.0</v>
      </c>
      <c r="C44" s="8" t="s">
        <v>1308</v>
      </c>
      <c r="D44" s="33"/>
    </row>
    <row r="45">
      <c r="A45" s="1" t="s">
        <v>36</v>
      </c>
      <c r="B45" s="8">
        <v>60.0</v>
      </c>
      <c r="C45" s="8"/>
      <c r="D45" s="33"/>
    </row>
    <row r="46">
      <c r="A46" s="1" t="s">
        <v>36</v>
      </c>
      <c r="B46" s="8">
        <v>40.0</v>
      </c>
      <c r="C46" s="8"/>
      <c r="D46" s="33"/>
    </row>
    <row r="47">
      <c r="A47" s="1" t="s">
        <v>56</v>
      </c>
      <c r="B47" s="8">
        <v>120.0</v>
      </c>
      <c r="C47" s="8"/>
      <c r="D47" s="33"/>
    </row>
    <row r="48">
      <c r="A48" s="1" t="s">
        <v>36</v>
      </c>
      <c r="B48" s="8">
        <v>80.0</v>
      </c>
      <c r="C48" s="8"/>
      <c r="D48" s="33"/>
    </row>
    <row r="49">
      <c r="A49" s="1" t="s">
        <v>36</v>
      </c>
      <c r="B49" s="8">
        <v>117.0</v>
      </c>
      <c r="C49" s="8"/>
      <c r="D49" s="33"/>
    </row>
    <row r="50">
      <c r="A50" s="1" t="s">
        <v>73</v>
      </c>
      <c r="B50" s="8">
        <v>150.0</v>
      </c>
      <c r="C50" s="8"/>
      <c r="D50" s="33"/>
    </row>
    <row r="51">
      <c r="A51" s="1" t="s">
        <v>36</v>
      </c>
      <c r="B51" s="8">
        <v>11.0</v>
      </c>
      <c r="C51" s="8"/>
      <c r="D51" s="33"/>
    </row>
    <row r="52">
      <c r="A52" s="1" t="s">
        <v>56</v>
      </c>
      <c r="B52" s="8">
        <v>580.0</v>
      </c>
      <c r="C52" s="8" t="s">
        <v>1309</v>
      </c>
      <c r="D52" s="33"/>
    </row>
    <row r="53">
      <c r="A53" s="1" t="s">
        <v>51</v>
      </c>
      <c r="B53" s="8">
        <v>270.0</v>
      </c>
      <c r="C53" s="8"/>
      <c r="D53" s="33"/>
    </row>
    <row r="54">
      <c r="A54" s="1" t="s">
        <v>36</v>
      </c>
      <c r="B54" s="8">
        <v>50.0</v>
      </c>
      <c r="C54" s="8"/>
      <c r="D54" s="33"/>
    </row>
    <row r="55">
      <c r="A55" s="1" t="s">
        <v>56</v>
      </c>
      <c r="B55" s="8">
        <v>50.0</v>
      </c>
      <c r="C55" s="8"/>
      <c r="D55" s="33"/>
    </row>
    <row r="56">
      <c r="A56" s="1" t="s">
        <v>56</v>
      </c>
      <c r="B56" s="8">
        <v>70.0</v>
      </c>
      <c r="C56" s="8"/>
      <c r="D56" s="33"/>
    </row>
    <row r="57">
      <c r="A57" s="1" t="s">
        <v>56</v>
      </c>
      <c r="B57" s="8">
        <v>150.0</v>
      </c>
      <c r="C57" s="8" t="s">
        <v>1010</v>
      </c>
      <c r="D57" s="33"/>
    </row>
    <row r="58">
      <c r="A58" s="1" t="s">
        <v>80</v>
      </c>
      <c r="B58" s="8">
        <v>5.0</v>
      </c>
      <c r="C58" s="8"/>
      <c r="D58" s="33"/>
    </row>
    <row r="59">
      <c r="A59" s="1" t="s">
        <v>56</v>
      </c>
      <c r="B59" s="8">
        <v>18.0</v>
      </c>
      <c r="C59" s="8" t="s">
        <v>42</v>
      </c>
      <c r="D59" s="33"/>
    </row>
    <row r="60">
      <c r="A60" s="1" t="s">
        <v>73</v>
      </c>
      <c r="B60" s="8">
        <v>150.0</v>
      </c>
      <c r="C60" s="8" t="s">
        <v>1101</v>
      </c>
      <c r="D60" s="33"/>
    </row>
    <row r="61">
      <c r="A61" s="1" t="s">
        <v>58</v>
      </c>
      <c r="B61" s="8">
        <v>290.0</v>
      </c>
      <c r="C61" s="8"/>
      <c r="D61" s="33"/>
    </row>
    <row r="62">
      <c r="A62" s="1" t="s">
        <v>36</v>
      </c>
      <c r="B62" s="8">
        <v>62.0</v>
      </c>
      <c r="C62" s="8"/>
      <c r="D62" s="33"/>
    </row>
    <row r="63">
      <c r="A63" s="1" t="s">
        <v>56</v>
      </c>
      <c r="B63" s="8">
        <v>50.0</v>
      </c>
      <c r="C63" s="8"/>
      <c r="D63" s="33"/>
    </row>
    <row r="64">
      <c r="A64" s="1" t="s">
        <v>56</v>
      </c>
      <c r="B64" s="8">
        <v>150.0</v>
      </c>
      <c r="C64" s="8" t="s">
        <v>1310</v>
      </c>
      <c r="D64" s="33"/>
    </row>
    <row r="65">
      <c r="A65" s="1" t="s">
        <v>41</v>
      </c>
      <c r="B65" s="8">
        <v>30.0</v>
      </c>
      <c r="C65" s="8"/>
      <c r="D65" s="33"/>
    </row>
    <row r="66">
      <c r="A66" s="1" t="s">
        <v>148</v>
      </c>
      <c r="B66" s="8">
        <v>36.0</v>
      </c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7502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8">
        <v>200.0</v>
      </c>
      <c r="C3" s="8"/>
      <c r="D3" s="33"/>
      <c r="E3" s="1" t="s">
        <v>34</v>
      </c>
      <c r="F3" s="8">
        <v>18236.0</v>
      </c>
      <c r="H3" s="8">
        <f>Zbiorczy!D23</f>
        <v>82514.29</v>
      </c>
      <c r="J3" s="3">
        <f t="shared" ref="J3:J7" si="1">SUMIF($A$3:A$101, K3, B$3:B$101)</f>
        <v>1900</v>
      </c>
      <c r="K3" s="1" t="s">
        <v>35</v>
      </c>
      <c r="M3" s="3">
        <f t="shared" ref="M3:M8" si="2">SUMIF($A$3:A$101, N3, B$3:B$101)</f>
        <v>3190</v>
      </c>
      <c r="N3" s="1" t="s">
        <v>36</v>
      </c>
    </row>
    <row r="4">
      <c r="A4" s="1" t="s">
        <v>36</v>
      </c>
      <c r="B4" s="8">
        <v>150.0</v>
      </c>
      <c r="C4" s="8"/>
      <c r="D4" s="33"/>
      <c r="F4" s="8"/>
      <c r="J4" s="3">
        <f t="shared" si="1"/>
        <v>2100</v>
      </c>
      <c r="K4" s="1" t="s">
        <v>40</v>
      </c>
      <c r="M4" s="3">
        <f t="shared" si="2"/>
        <v>65</v>
      </c>
      <c r="N4" s="1" t="s">
        <v>41</v>
      </c>
    </row>
    <row r="5">
      <c r="A5" s="1" t="s">
        <v>36</v>
      </c>
      <c r="B5" s="8">
        <v>43.0</v>
      </c>
      <c r="C5" s="8"/>
      <c r="D5" s="35"/>
      <c r="J5" s="3">
        <f t="shared" si="1"/>
        <v>1263</v>
      </c>
      <c r="K5" s="1" t="s">
        <v>47</v>
      </c>
      <c r="M5" s="3">
        <f t="shared" si="2"/>
        <v>1263</v>
      </c>
      <c r="N5" s="1" t="s">
        <v>47</v>
      </c>
    </row>
    <row r="6">
      <c r="A6" s="1" t="s">
        <v>36</v>
      </c>
      <c r="B6" s="8">
        <v>30.0</v>
      </c>
      <c r="C6" s="8"/>
      <c r="D6" s="35"/>
      <c r="J6" s="3">
        <f t="shared" si="1"/>
        <v>1469</v>
      </c>
      <c r="K6" s="1" t="s">
        <v>1311</v>
      </c>
      <c r="M6" s="3">
        <f t="shared" si="2"/>
        <v>710</v>
      </c>
      <c r="N6" s="1" t="s">
        <v>51</v>
      </c>
    </row>
    <row r="7">
      <c r="A7" s="1" t="s">
        <v>56</v>
      </c>
      <c r="B7" s="8">
        <v>40.0</v>
      </c>
      <c r="C7" s="40"/>
      <c r="D7" s="33"/>
      <c r="J7" s="3">
        <f t="shared" si="1"/>
        <v>770</v>
      </c>
      <c r="K7" s="1" t="s">
        <v>55</v>
      </c>
      <c r="M7" s="3">
        <f t="shared" si="2"/>
        <v>28351</v>
      </c>
      <c r="N7" s="1" t="s">
        <v>56</v>
      </c>
    </row>
    <row r="8">
      <c r="A8" s="1" t="s">
        <v>56</v>
      </c>
      <c r="B8" s="1">
        <v>12.0</v>
      </c>
      <c r="C8" s="1" t="s">
        <v>865</v>
      </c>
      <c r="D8" s="33"/>
      <c r="M8" s="3">
        <f t="shared" si="2"/>
        <v>1263</v>
      </c>
      <c r="N8" s="1" t="s">
        <v>47</v>
      </c>
    </row>
    <row r="9">
      <c r="A9" s="1" t="s">
        <v>50</v>
      </c>
      <c r="B9" s="8">
        <v>1369.0</v>
      </c>
      <c r="C9" s="8"/>
      <c r="D9" s="33"/>
    </row>
    <row r="10">
      <c r="A10" s="1" t="s">
        <v>56</v>
      </c>
      <c r="B10" s="8">
        <v>270.0</v>
      </c>
      <c r="C10" s="8" t="s">
        <v>1312</v>
      </c>
      <c r="D10" s="35"/>
    </row>
    <row r="11">
      <c r="A11" s="1" t="s">
        <v>80</v>
      </c>
      <c r="B11" s="8">
        <v>100.0</v>
      </c>
      <c r="C11" s="8"/>
      <c r="D11" s="35"/>
    </row>
    <row r="12">
      <c r="A12" s="1" t="s">
        <v>58</v>
      </c>
      <c r="B12" s="8">
        <v>83.0</v>
      </c>
      <c r="C12" s="8" t="s">
        <v>1313</v>
      </c>
      <c r="D12" s="35"/>
    </row>
    <row r="13">
      <c r="A13" s="1" t="s">
        <v>58</v>
      </c>
      <c r="B13" s="8">
        <v>234.0</v>
      </c>
      <c r="C13" s="8" t="s">
        <v>1145</v>
      </c>
      <c r="D13" s="33"/>
    </row>
    <row r="14">
      <c r="A14" s="1" t="s">
        <v>56</v>
      </c>
      <c r="B14" s="8">
        <v>60.0</v>
      </c>
      <c r="C14" s="8"/>
      <c r="D14" s="33"/>
    </row>
    <row r="15">
      <c r="A15" s="1" t="s">
        <v>56</v>
      </c>
      <c r="B15" s="8">
        <v>60.0</v>
      </c>
      <c r="C15" s="8"/>
      <c r="D15" s="33"/>
    </row>
    <row r="16">
      <c r="A16" s="1" t="s">
        <v>56</v>
      </c>
      <c r="B16" s="8">
        <v>690.0</v>
      </c>
      <c r="C16" s="8" t="s">
        <v>1314</v>
      </c>
      <c r="D16" s="33"/>
    </row>
    <row r="17">
      <c r="A17" s="1" t="s">
        <v>47</v>
      </c>
      <c r="B17" s="8">
        <v>350.0</v>
      </c>
      <c r="C17" s="8" t="s">
        <v>989</v>
      </c>
      <c r="D17" s="33"/>
    </row>
    <row r="18">
      <c r="A18" s="1" t="s">
        <v>36</v>
      </c>
      <c r="B18" s="8">
        <v>27.0</v>
      </c>
      <c r="C18" s="8"/>
      <c r="D18" s="25"/>
    </row>
    <row r="19">
      <c r="A19" s="1" t="s">
        <v>37</v>
      </c>
      <c r="B19" s="8">
        <v>8.0</v>
      </c>
      <c r="C19" s="8"/>
      <c r="D19" s="33"/>
    </row>
    <row r="20">
      <c r="A20" s="1" t="s">
        <v>56</v>
      </c>
      <c r="B20" s="1">
        <v>50.0</v>
      </c>
      <c r="C20" s="8"/>
      <c r="D20" s="33"/>
    </row>
    <row r="21">
      <c r="A21" s="1" t="s">
        <v>36</v>
      </c>
      <c r="B21" s="30">
        <v>30.0</v>
      </c>
      <c r="C21" s="8"/>
      <c r="D21" s="33"/>
    </row>
    <row r="22">
      <c r="A22" s="1" t="s">
        <v>41</v>
      </c>
      <c r="B22" s="8">
        <v>44.0</v>
      </c>
      <c r="C22" s="8"/>
      <c r="D22" s="33"/>
    </row>
    <row r="23">
      <c r="A23" s="1" t="s">
        <v>56</v>
      </c>
      <c r="B23" s="8">
        <v>220.0</v>
      </c>
      <c r="C23" s="8"/>
      <c r="D23" s="33"/>
    </row>
    <row r="24">
      <c r="A24" s="1" t="s">
        <v>56</v>
      </c>
      <c r="B24" s="41">
        <v>50.0</v>
      </c>
      <c r="C24" s="8" t="s">
        <v>1312</v>
      </c>
      <c r="D24" s="33"/>
    </row>
    <row r="25">
      <c r="A25" s="1" t="s">
        <v>56</v>
      </c>
      <c r="B25" s="8">
        <v>190.0</v>
      </c>
      <c r="C25" s="8" t="s">
        <v>1315</v>
      </c>
      <c r="D25" s="33"/>
    </row>
    <row r="26">
      <c r="A26" s="1" t="s">
        <v>36</v>
      </c>
      <c r="B26" s="8">
        <v>50.0</v>
      </c>
      <c r="C26" s="8"/>
      <c r="D26" s="33"/>
    </row>
    <row r="27">
      <c r="A27" s="1" t="s">
        <v>55</v>
      </c>
      <c r="B27" s="8">
        <v>230.0</v>
      </c>
      <c r="C27" s="8" t="s">
        <v>1280</v>
      </c>
      <c r="D27" s="33"/>
    </row>
    <row r="28">
      <c r="A28" s="1" t="s">
        <v>55</v>
      </c>
      <c r="B28" s="8">
        <v>540.0</v>
      </c>
      <c r="C28" s="8" t="s">
        <v>786</v>
      </c>
      <c r="D28" s="33"/>
    </row>
    <row r="29">
      <c r="A29" s="1" t="s">
        <v>50</v>
      </c>
      <c r="B29" s="8">
        <v>100.0</v>
      </c>
      <c r="C29" s="8" t="s">
        <v>1316</v>
      </c>
      <c r="D29" s="33"/>
    </row>
    <row r="30">
      <c r="A30" s="1" t="s">
        <v>56</v>
      </c>
      <c r="B30" s="8">
        <v>280.0</v>
      </c>
      <c r="C30" s="8" t="s">
        <v>1317</v>
      </c>
      <c r="D30" s="35"/>
    </row>
    <row r="31">
      <c r="A31" s="1" t="s">
        <v>56</v>
      </c>
      <c r="B31" s="8">
        <v>12.0</v>
      </c>
      <c r="C31" s="8" t="s">
        <v>1318</v>
      </c>
      <c r="D31" s="33"/>
    </row>
    <row r="32">
      <c r="A32" s="1" t="s">
        <v>56</v>
      </c>
      <c r="B32" s="8">
        <v>15.0</v>
      </c>
      <c r="C32" s="8"/>
      <c r="D32" s="33"/>
    </row>
    <row r="33">
      <c r="A33" s="1" t="s">
        <v>56</v>
      </c>
      <c r="B33" s="8">
        <v>200.0</v>
      </c>
      <c r="C33" s="8"/>
      <c r="D33" s="33"/>
    </row>
    <row r="34">
      <c r="A34" s="1" t="s">
        <v>73</v>
      </c>
      <c r="B34" s="8">
        <v>150.0</v>
      </c>
      <c r="C34" s="42"/>
      <c r="D34" s="33"/>
    </row>
    <row r="35">
      <c r="A35" s="1" t="s">
        <v>36</v>
      </c>
      <c r="B35" s="8">
        <v>11.0</v>
      </c>
      <c r="C35" s="8"/>
      <c r="D35" s="33"/>
    </row>
    <row r="36">
      <c r="A36" s="1" t="s">
        <v>36</v>
      </c>
      <c r="B36" s="41">
        <v>47.0</v>
      </c>
      <c r="C36" s="8"/>
      <c r="D36" s="33"/>
    </row>
    <row r="37">
      <c r="A37" s="1" t="s">
        <v>47</v>
      </c>
      <c r="B37" s="8">
        <v>913.0</v>
      </c>
      <c r="C37" s="8" t="s">
        <v>1319</v>
      </c>
      <c r="D37" s="33"/>
    </row>
    <row r="38">
      <c r="A38" s="1" t="s">
        <v>40</v>
      </c>
      <c r="B38" s="8">
        <v>2100.0</v>
      </c>
      <c r="C38" s="8"/>
      <c r="D38" s="33"/>
    </row>
    <row r="39">
      <c r="A39" s="1" t="s">
        <v>148</v>
      </c>
      <c r="B39" s="8">
        <v>75.0</v>
      </c>
      <c r="C39" s="8"/>
      <c r="D39" s="33"/>
    </row>
    <row r="40">
      <c r="A40" s="1" t="s">
        <v>842</v>
      </c>
      <c r="B40" s="8">
        <v>210.0</v>
      </c>
      <c r="C40" s="8"/>
      <c r="D40" s="33"/>
    </row>
    <row r="41">
      <c r="A41" s="1" t="s">
        <v>36</v>
      </c>
      <c r="B41" s="8">
        <v>70.0</v>
      </c>
      <c r="C41" s="8"/>
      <c r="D41" s="33"/>
    </row>
    <row r="42">
      <c r="A42" s="1" t="s">
        <v>56</v>
      </c>
      <c r="B42" s="8">
        <v>60.0</v>
      </c>
      <c r="C42" s="8"/>
      <c r="D42" s="33"/>
    </row>
    <row r="43">
      <c r="A43" s="1" t="s">
        <v>56</v>
      </c>
      <c r="B43" s="8">
        <v>26.0</v>
      </c>
      <c r="C43" s="8"/>
      <c r="D43" s="33"/>
    </row>
    <row r="44">
      <c r="A44" s="1" t="s">
        <v>56</v>
      </c>
      <c r="B44" s="8">
        <v>90.0</v>
      </c>
      <c r="C44" s="8"/>
      <c r="D44" s="33"/>
    </row>
    <row r="45">
      <c r="A45" s="1" t="s">
        <v>51</v>
      </c>
      <c r="B45" s="8">
        <v>300.0</v>
      </c>
      <c r="C45" s="8"/>
      <c r="D45" s="33"/>
    </row>
    <row r="46">
      <c r="A46" s="1" t="s">
        <v>201</v>
      </c>
      <c r="B46" s="8">
        <v>1900.0</v>
      </c>
      <c r="C46" s="8"/>
      <c r="D46" s="33"/>
    </row>
    <row r="47">
      <c r="A47" s="1" t="s">
        <v>56</v>
      </c>
      <c r="B47" s="8">
        <v>19000.0</v>
      </c>
      <c r="C47" s="8" t="s">
        <v>1320</v>
      </c>
      <c r="D47" s="33"/>
    </row>
    <row r="48">
      <c r="A48" s="1" t="s">
        <v>56</v>
      </c>
      <c r="B48" s="8">
        <v>3000.0</v>
      </c>
      <c r="C48" s="8" t="s">
        <v>1076</v>
      </c>
      <c r="D48" s="33"/>
    </row>
    <row r="49">
      <c r="A49" s="1" t="s">
        <v>36</v>
      </c>
      <c r="B49" s="8">
        <v>105.0</v>
      </c>
      <c r="C49" s="8"/>
      <c r="D49" s="33"/>
    </row>
    <row r="50">
      <c r="A50" s="1" t="s">
        <v>36</v>
      </c>
      <c r="B50" s="8">
        <v>150.0</v>
      </c>
      <c r="C50" s="8"/>
      <c r="D50" s="33"/>
    </row>
    <row r="51">
      <c r="A51" s="1" t="s">
        <v>41</v>
      </c>
      <c r="B51" s="8">
        <v>10.0</v>
      </c>
      <c r="C51" s="8"/>
      <c r="D51" s="33"/>
    </row>
    <row r="52">
      <c r="A52" s="1" t="s">
        <v>36</v>
      </c>
      <c r="B52" s="8">
        <v>20.0</v>
      </c>
      <c r="C52" s="8"/>
      <c r="D52" s="33"/>
    </row>
    <row r="53">
      <c r="A53" s="1" t="s">
        <v>56</v>
      </c>
      <c r="B53" s="8">
        <v>380.0</v>
      </c>
      <c r="C53" s="8" t="s">
        <v>1229</v>
      </c>
      <c r="D53" s="33"/>
    </row>
    <row r="54">
      <c r="A54" s="1" t="s">
        <v>36</v>
      </c>
      <c r="B54" s="8">
        <v>10.0</v>
      </c>
      <c r="C54" s="8"/>
      <c r="D54" s="33"/>
    </row>
    <row r="55">
      <c r="A55" s="1" t="s">
        <v>36</v>
      </c>
      <c r="B55" s="8">
        <v>30.0</v>
      </c>
      <c r="C55" s="8"/>
      <c r="D55" s="33"/>
    </row>
    <row r="56">
      <c r="A56" s="1" t="s">
        <v>51</v>
      </c>
      <c r="B56" s="8">
        <v>110.0</v>
      </c>
      <c r="C56" s="8"/>
      <c r="D56" s="33"/>
    </row>
    <row r="57">
      <c r="A57" s="1" t="s">
        <v>36</v>
      </c>
      <c r="B57" s="8">
        <v>70.0</v>
      </c>
      <c r="C57" s="8"/>
      <c r="D57" s="33"/>
    </row>
    <row r="58">
      <c r="A58" s="1" t="s">
        <v>307</v>
      </c>
      <c r="B58" s="8">
        <v>140.0</v>
      </c>
      <c r="C58" s="8"/>
      <c r="D58" s="33"/>
    </row>
    <row r="59">
      <c r="A59" s="1" t="s">
        <v>36</v>
      </c>
      <c r="B59" s="8">
        <v>70.0</v>
      </c>
      <c r="C59" s="8"/>
      <c r="D59" s="33"/>
    </row>
    <row r="60">
      <c r="A60" s="1" t="s">
        <v>56</v>
      </c>
      <c r="B60" s="8">
        <v>50.0</v>
      </c>
      <c r="C60" s="8" t="s">
        <v>1321</v>
      </c>
      <c r="D60" s="33"/>
    </row>
    <row r="61">
      <c r="A61" s="1" t="s">
        <v>56</v>
      </c>
      <c r="B61" s="8">
        <v>50.0</v>
      </c>
      <c r="C61" s="8"/>
      <c r="D61" s="33"/>
    </row>
    <row r="62">
      <c r="A62" s="1" t="s">
        <v>36</v>
      </c>
      <c r="B62" s="8">
        <v>78.0</v>
      </c>
      <c r="C62" s="8"/>
      <c r="D62" s="33"/>
    </row>
    <row r="63">
      <c r="A63" s="1" t="s">
        <v>41</v>
      </c>
      <c r="B63" s="8">
        <v>11.0</v>
      </c>
      <c r="C63" s="8"/>
      <c r="D63" s="33"/>
    </row>
    <row r="64">
      <c r="A64" s="1" t="s">
        <v>56</v>
      </c>
      <c r="B64" s="8">
        <v>57.0</v>
      </c>
      <c r="C64" s="8" t="s">
        <v>1322</v>
      </c>
      <c r="D64" s="33"/>
    </row>
    <row r="65">
      <c r="A65" s="1" t="s">
        <v>56</v>
      </c>
      <c r="B65" s="8">
        <v>104.0</v>
      </c>
      <c r="C65" s="8" t="s">
        <v>1323</v>
      </c>
      <c r="D65" s="33"/>
    </row>
    <row r="66">
      <c r="A66" s="1" t="s">
        <v>42</v>
      </c>
      <c r="B66" s="8">
        <v>156.0</v>
      </c>
      <c r="C66" s="8"/>
      <c r="D66" s="33"/>
    </row>
    <row r="67">
      <c r="A67" s="1" t="s">
        <v>56</v>
      </c>
      <c r="B67" s="8">
        <v>10.0</v>
      </c>
      <c r="C67" s="8" t="s">
        <v>861</v>
      </c>
      <c r="D67" s="33"/>
    </row>
    <row r="68">
      <c r="A68" s="1" t="s">
        <v>56</v>
      </c>
      <c r="B68" s="8">
        <v>150.0</v>
      </c>
      <c r="C68" s="8" t="s">
        <v>1324</v>
      </c>
      <c r="D68" s="33"/>
    </row>
    <row r="69">
      <c r="A69" s="1" t="s">
        <v>307</v>
      </c>
      <c r="B69" s="8">
        <v>200.0</v>
      </c>
      <c r="C69" s="8" t="s">
        <v>1325</v>
      </c>
      <c r="D69" s="33"/>
    </row>
    <row r="70">
      <c r="A70" s="1" t="s">
        <v>56</v>
      </c>
      <c r="B70" s="8">
        <v>25.0</v>
      </c>
      <c r="C70" s="8" t="s">
        <v>1326</v>
      </c>
      <c r="D70" s="33"/>
    </row>
    <row r="71">
      <c r="A71" s="1" t="s">
        <v>36</v>
      </c>
      <c r="B71" s="8">
        <v>35.0</v>
      </c>
      <c r="C71" s="8" t="s">
        <v>1327</v>
      </c>
      <c r="D71" s="33"/>
    </row>
    <row r="72">
      <c r="A72" s="1" t="s">
        <v>56</v>
      </c>
      <c r="B72" s="8">
        <v>3000.0</v>
      </c>
      <c r="C72" s="8" t="s">
        <v>1076</v>
      </c>
      <c r="D72" s="33"/>
    </row>
    <row r="73">
      <c r="A73" s="1" t="s">
        <v>73</v>
      </c>
      <c r="B73" s="8">
        <v>150.0</v>
      </c>
      <c r="C73" s="8" t="s">
        <v>1179</v>
      </c>
      <c r="D73" s="35"/>
    </row>
    <row r="74">
      <c r="A74" s="1" t="s">
        <v>36</v>
      </c>
      <c r="B74" s="8">
        <v>75.0</v>
      </c>
      <c r="C74" s="8"/>
      <c r="D74" s="33"/>
    </row>
    <row r="75">
      <c r="A75" s="1" t="s">
        <v>51</v>
      </c>
      <c r="B75" s="8">
        <v>300.0</v>
      </c>
      <c r="C75" s="8"/>
      <c r="D75" s="33"/>
    </row>
    <row r="76">
      <c r="A76" s="1" t="s">
        <v>58</v>
      </c>
      <c r="B76" s="8">
        <v>290.0</v>
      </c>
      <c r="C76" s="8"/>
      <c r="D76" s="33"/>
    </row>
    <row r="77">
      <c r="A77" s="1" t="s">
        <v>36</v>
      </c>
      <c r="B77" s="8">
        <v>2089.0</v>
      </c>
      <c r="C77" s="8" t="s">
        <v>1328</v>
      </c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6395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58</v>
      </c>
      <c r="B3" s="8">
        <v>83.0</v>
      </c>
      <c r="C3" s="8" t="s">
        <v>783</v>
      </c>
      <c r="D3" s="33"/>
      <c r="E3" s="1" t="s">
        <v>34</v>
      </c>
      <c r="F3" s="8">
        <v>21050.0</v>
      </c>
      <c r="H3" s="8">
        <f>Zbiorczy!D22</f>
        <v>80190.29</v>
      </c>
      <c r="J3" s="3">
        <f t="shared" ref="J3:J7" si="1">SUMIF($A$3:A$101, K3, B$3:B$101)</f>
        <v>1826</v>
      </c>
      <c r="K3" s="1" t="s">
        <v>35</v>
      </c>
      <c r="M3" s="3">
        <f t="shared" ref="M3:M8" si="2">SUMIF($A$3:A$101, N3, B$3:B$101)</f>
        <v>769</v>
      </c>
      <c r="N3" s="1" t="s">
        <v>36</v>
      </c>
    </row>
    <row r="4">
      <c r="A4" s="1" t="s">
        <v>58</v>
      </c>
      <c r="B4" s="8">
        <v>203.0</v>
      </c>
      <c r="C4" s="8" t="s">
        <v>815</v>
      </c>
      <c r="D4" s="33"/>
      <c r="F4" s="8"/>
      <c r="J4" s="3">
        <f t="shared" si="1"/>
        <v>2913</v>
      </c>
      <c r="K4" s="1" t="s">
        <v>40</v>
      </c>
      <c r="M4" s="3">
        <f t="shared" si="2"/>
        <v>68</v>
      </c>
      <c r="N4" s="1" t="s">
        <v>41</v>
      </c>
    </row>
    <row r="5">
      <c r="A5" s="1" t="s">
        <v>47</v>
      </c>
      <c r="B5" s="8">
        <v>350.0</v>
      </c>
      <c r="C5" s="8" t="s">
        <v>780</v>
      </c>
      <c r="D5" s="35"/>
      <c r="J5" s="3">
        <f t="shared" si="1"/>
        <v>0</v>
      </c>
      <c r="K5" s="1" t="s">
        <v>46</v>
      </c>
      <c r="M5" s="3">
        <f t="shared" si="2"/>
        <v>2826</v>
      </c>
      <c r="N5" s="1" t="s">
        <v>47</v>
      </c>
    </row>
    <row r="6">
      <c r="A6" s="1" t="s">
        <v>56</v>
      </c>
      <c r="B6" s="8">
        <v>104.0</v>
      </c>
      <c r="C6" s="8" t="s">
        <v>1329</v>
      </c>
      <c r="D6" s="35"/>
      <c r="J6" s="3">
        <f t="shared" si="1"/>
        <v>1656</v>
      </c>
      <c r="K6" s="1" t="s">
        <v>50</v>
      </c>
      <c r="M6" s="3">
        <f t="shared" si="2"/>
        <v>1184</v>
      </c>
      <c r="N6" s="1" t="s">
        <v>51</v>
      </c>
    </row>
    <row r="7">
      <c r="A7" s="1" t="s">
        <v>80</v>
      </c>
      <c r="B7" s="8">
        <v>23.0</v>
      </c>
      <c r="C7" s="40"/>
      <c r="D7" s="33"/>
      <c r="J7" s="3">
        <f t="shared" si="1"/>
        <v>0</v>
      </c>
      <c r="K7" s="1" t="s">
        <v>55</v>
      </c>
      <c r="M7" s="3">
        <f t="shared" si="2"/>
        <v>2339</v>
      </c>
      <c r="N7" s="1" t="s">
        <v>56</v>
      </c>
    </row>
    <row r="8">
      <c r="A8" s="1" t="s">
        <v>1172</v>
      </c>
      <c r="B8" s="1">
        <v>58.0</v>
      </c>
      <c r="D8" s="33"/>
      <c r="M8" s="3">
        <f t="shared" si="2"/>
        <v>2826</v>
      </c>
      <c r="N8" s="1" t="s">
        <v>47</v>
      </c>
    </row>
    <row r="9">
      <c r="A9" s="1" t="s">
        <v>1172</v>
      </c>
      <c r="B9" s="8">
        <v>52.0</v>
      </c>
      <c r="C9" s="8"/>
      <c r="D9" s="33"/>
    </row>
    <row r="10">
      <c r="A10" s="1" t="s">
        <v>1172</v>
      </c>
      <c r="B10" s="8">
        <v>30.0</v>
      </c>
      <c r="C10" s="8" t="s">
        <v>1187</v>
      </c>
      <c r="D10" s="35"/>
    </row>
    <row r="11">
      <c r="A11" s="1" t="s">
        <v>56</v>
      </c>
      <c r="B11" s="8">
        <v>10.0</v>
      </c>
      <c r="C11" s="8"/>
      <c r="D11" s="35"/>
    </row>
    <row r="12">
      <c r="A12" s="1" t="s">
        <v>56</v>
      </c>
      <c r="B12" s="8">
        <v>15.0</v>
      </c>
      <c r="C12" s="8" t="s">
        <v>42</v>
      </c>
      <c r="D12" s="35"/>
    </row>
    <row r="13">
      <c r="A13" s="1" t="s">
        <v>1172</v>
      </c>
      <c r="B13" s="8">
        <v>48.0</v>
      </c>
      <c r="C13" s="8" t="s">
        <v>1187</v>
      </c>
      <c r="D13" s="33"/>
    </row>
    <row r="14">
      <c r="A14" s="1" t="s">
        <v>37</v>
      </c>
      <c r="B14" s="8">
        <v>8.0</v>
      </c>
      <c r="C14" s="8"/>
      <c r="D14" s="33"/>
    </row>
    <row r="15">
      <c r="A15" s="1" t="s">
        <v>56</v>
      </c>
      <c r="B15" s="8">
        <v>11.0</v>
      </c>
      <c r="C15" s="8" t="s">
        <v>865</v>
      </c>
      <c r="D15" s="33"/>
    </row>
    <row r="16">
      <c r="A16" s="1" t="s">
        <v>50</v>
      </c>
      <c r="B16" s="8">
        <v>1036.0</v>
      </c>
      <c r="C16" s="8" t="s">
        <v>1226</v>
      </c>
      <c r="D16" s="33"/>
    </row>
    <row r="17">
      <c r="A17" s="1" t="s">
        <v>41</v>
      </c>
      <c r="B17" s="8">
        <v>22.0</v>
      </c>
      <c r="C17" s="8"/>
      <c r="D17" s="33"/>
    </row>
    <row r="18">
      <c r="A18" s="1" t="s">
        <v>50</v>
      </c>
      <c r="B18" s="8">
        <v>60.0</v>
      </c>
      <c r="C18" s="8" t="s">
        <v>1330</v>
      </c>
      <c r="D18" s="25"/>
    </row>
    <row r="19">
      <c r="A19" s="1" t="s">
        <v>56</v>
      </c>
      <c r="B19" s="8">
        <v>380.0</v>
      </c>
      <c r="C19" s="8" t="s">
        <v>1331</v>
      </c>
      <c r="D19" s="33"/>
    </row>
    <row r="20">
      <c r="A20" s="1" t="s">
        <v>148</v>
      </c>
      <c r="B20" s="1">
        <v>65.0</v>
      </c>
      <c r="C20" s="8"/>
      <c r="D20" s="33"/>
    </row>
    <row r="21">
      <c r="A21" s="1" t="s">
        <v>307</v>
      </c>
      <c r="B21" s="30">
        <v>170.0</v>
      </c>
      <c r="C21" s="8"/>
      <c r="D21" s="33"/>
    </row>
    <row r="22">
      <c r="A22" s="1" t="s">
        <v>36</v>
      </c>
      <c r="B22" s="8">
        <v>50.0</v>
      </c>
      <c r="C22" s="8" t="s">
        <v>1332</v>
      </c>
      <c r="D22" s="33"/>
    </row>
    <row r="23">
      <c r="A23" s="1" t="s">
        <v>56</v>
      </c>
      <c r="B23" s="8">
        <v>60.0</v>
      </c>
      <c r="C23" s="8"/>
      <c r="D23" s="33"/>
    </row>
    <row r="24">
      <c r="A24" s="1" t="s">
        <v>47</v>
      </c>
      <c r="B24" s="41">
        <v>120.0</v>
      </c>
      <c r="C24" s="8"/>
      <c r="D24" s="33"/>
    </row>
    <row r="25">
      <c r="A25" s="1" t="s">
        <v>50</v>
      </c>
      <c r="B25" s="8">
        <v>100.0</v>
      </c>
      <c r="C25" s="8" t="s">
        <v>822</v>
      </c>
      <c r="D25" s="33"/>
    </row>
    <row r="26">
      <c r="A26" s="1" t="s">
        <v>36</v>
      </c>
      <c r="B26" s="8">
        <v>73.0</v>
      </c>
      <c r="C26" s="8"/>
      <c r="D26" s="33"/>
    </row>
    <row r="27">
      <c r="A27" s="1" t="s">
        <v>40</v>
      </c>
      <c r="B27" s="8">
        <v>2913.0</v>
      </c>
      <c r="C27" s="8"/>
      <c r="D27" s="33"/>
    </row>
    <row r="28">
      <c r="A28" s="1" t="s">
        <v>73</v>
      </c>
      <c r="B28" s="8">
        <v>150.0</v>
      </c>
      <c r="C28" s="8"/>
      <c r="D28" s="33"/>
    </row>
    <row r="29">
      <c r="A29" s="1" t="s">
        <v>772</v>
      </c>
      <c r="B29" s="8">
        <v>50.0</v>
      </c>
      <c r="C29" s="8"/>
      <c r="D29" s="33"/>
    </row>
    <row r="30">
      <c r="A30" s="1" t="s">
        <v>51</v>
      </c>
      <c r="B30" s="8">
        <v>350.0</v>
      </c>
      <c r="C30" s="8"/>
      <c r="D30" s="35"/>
    </row>
    <row r="31">
      <c r="A31" s="1" t="s">
        <v>47</v>
      </c>
      <c r="B31" s="8">
        <v>2160.0</v>
      </c>
      <c r="C31" s="8" t="s">
        <v>1098</v>
      </c>
      <c r="D31" s="33"/>
    </row>
    <row r="32">
      <c r="A32" s="1" t="s">
        <v>51</v>
      </c>
      <c r="B32" s="8">
        <v>136.0</v>
      </c>
      <c r="C32" s="8"/>
      <c r="D32" s="33"/>
    </row>
    <row r="33">
      <c r="A33" s="1" t="s">
        <v>201</v>
      </c>
      <c r="B33" s="8">
        <v>1826.0</v>
      </c>
      <c r="C33" s="8"/>
      <c r="D33" s="33"/>
    </row>
    <row r="34">
      <c r="A34" s="1" t="s">
        <v>51</v>
      </c>
      <c r="B34" s="8">
        <v>301.0</v>
      </c>
      <c r="C34" s="42"/>
      <c r="D34" s="33"/>
    </row>
    <row r="35">
      <c r="A35" s="1" t="s">
        <v>37</v>
      </c>
      <c r="B35" s="8">
        <v>127.0</v>
      </c>
      <c r="C35" s="8"/>
      <c r="D35" s="33"/>
    </row>
    <row r="36">
      <c r="A36" s="1" t="s">
        <v>56</v>
      </c>
      <c r="B36" s="41">
        <v>260.0</v>
      </c>
      <c r="C36" s="8" t="s">
        <v>798</v>
      </c>
      <c r="D36" s="33"/>
    </row>
    <row r="37">
      <c r="A37" s="1" t="s">
        <v>58</v>
      </c>
      <c r="B37" s="8">
        <v>200.0</v>
      </c>
      <c r="C37" s="8" t="s">
        <v>324</v>
      </c>
      <c r="D37" s="33"/>
    </row>
    <row r="38">
      <c r="A38" s="1" t="s">
        <v>51</v>
      </c>
      <c r="B38" s="8">
        <v>101.0</v>
      </c>
      <c r="C38" s="8"/>
      <c r="D38" s="33"/>
    </row>
    <row r="39">
      <c r="A39" s="1" t="s">
        <v>51</v>
      </c>
      <c r="B39" s="8">
        <v>296.0</v>
      </c>
      <c r="C39" s="8"/>
      <c r="D39" s="33"/>
    </row>
    <row r="40">
      <c r="A40" s="1" t="s">
        <v>58</v>
      </c>
      <c r="B40" s="8">
        <v>260.0</v>
      </c>
      <c r="C40" s="8" t="s">
        <v>812</v>
      </c>
      <c r="D40" s="33"/>
    </row>
    <row r="41">
      <c r="A41" s="1" t="s">
        <v>73</v>
      </c>
      <c r="B41" s="8">
        <v>150.0</v>
      </c>
      <c r="C41" s="8" t="s">
        <v>1179</v>
      </c>
      <c r="D41" s="33"/>
    </row>
    <row r="42">
      <c r="A42" s="1" t="s">
        <v>36</v>
      </c>
      <c r="B42" s="8">
        <v>26.0</v>
      </c>
      <c r="C42" s="8"/>
      <c r="D42" s="33"/>
    </row>
    <row r="43">
      <c r="A43" s="1" t="s">
        <v>42</v>
      </c>
      <c r="B43" s="8">
        <v>60.0</v>
      </c>
      <c r="C43" s="8"/>
      <c r="D43" s="33"/>
    </row>
    <row r="44">
      <c r="A44" s="1" t="s">
        <v>36</v>
      </c>
      <c r="B44" s="8">
        <v>190.0</v>
      </c>
      <c r="C44" s="8" t="s">
        <v>987</v>
      </c>
      <c r="D44" s="33"/>
    </row>
    <row r="45">
      <c r="A45" s="1" t="s">
        <v>50</v>
      </c>
      <c r="B45" s="8">
        <v>460.0</v>
      </c>
      <c r="C45" s="8" t="s">
        <v>817</v>
      </c>
      <c r="D45" s="33"/>
    </row>
    <row r="46">
      <c r="A46" s="1" t="s">
        <v>36</v>
      </c>
      <c r="B46" s="8">
        <v>15.0</v>
      </c>
      <c r="C46" s="8"/>
      <c r="D46" s="33"/>
    </row>
    <row r="47">
      <c r="A47" s="1" t="s">
        <v>56</v>
      </c>
      <c r="B47" s="8">
        <v>50.0</v>
      </c>
      <c r="C47" s="8" t="s">
        <v>869</v>
      </c>
      <c r="D47" s="33"/>
    </row>
    <row r="48">
      <c r="A48" s="1" t="s">
        <v>36</v>
      </c>
      <c r="B48" s="8">
        <v>50.0</v>
      </c>
      <c r="C48" s="8"/>
      <c r="D48" s="33"/>
    </row>
    <row r="49">
      <c r="A49" s="1" t="s">
        <v>37</v>
      </c>
      <c r="B49" s="8">
        <v>4.0</v>
      </c>
      <c r="C49" s="8"/>
      <c r="D49" s="33"/>
    </row>
    <row r="50">
      <c r="A50" s="1" t="s">
        <v>56</v>
      </c>
      <c r="B50" s="8">
        <v>40.0</v>
      </c>
      <c r="C50" s="8"/>
      <c r="D50" s="33"/>
    </row>
    <row r="51">
      <c r="A51" s="1" t="s">
        <v>42</v>
      </c>
      <c r="B51" s="8">
        <v>125.0</v>
      </c>
      <c r="C51" s="8"/>
      <c r="D51" s="33"/>
    </row>
    <row r="52">
      <c r="A52" s="1" t="s">
        <v>56</v>
      </c>
      <c r="B52" s="8">
        <v>35.0</v>
      </c>
      <c r="C52" s="8"/>
      <c r="D52" s="33"/>
    </row>
    <row r="53">
      <c r="A53" s="1" t="s">
        <v>56</v>
      </c>
      <c r="B53" s="8">
        <v>630.0</v>
      </c>
      <c r="C53" s="8" t="s">
        <v>1333</v>
      </c>
      <c r="D53" s="33"/>
    </row>
    <row r="54">
      <c r="A54" s="1" t="s">
        <v>36</v>
      </c>
      <c r="B54" s="8">
        <v>36.0</v>
      </c>
      <c r="C54" s="8"/>
      <c r="D54" s="33"/>
    </row>
    <row r="55">
      <c r="A55" s="1" t="s">
        <v>58</v>
      </c>
      <c r="B55" s="8">
        <v>10.0</v>
      </c>
      <c r="C55" s="8" t="s">
        <v>1334</v>
      </c>
      <c r="D55" s="33"/>
    </row>
    <row r="56">
      <c r="A56" s="1" t="s">
        <v>41</v>
      </c>
      <c r="B56" s="8">
        <v>10.0</v>
      </c>
      <c r="C56" s="8"/>
      <c r="D56" s="33"/>
    </row>
    <row r="57">
      <c r="A57" s="1" t="s">
        <v>36</v>
      </c>
      <c r="B57" s="8">
        <v>45.0</v>
      </c>
      <c r="C57" s="8"/>
      <c r="D57" s="33"/>
    </row>
    <row r="58">
      <c r="A58" s="1" t="s">
        <v>56</v>
      </c>
      <c r="B58" s="8">
        <v>4.0</v>
      </c>
      <c r="C58" s="8"/>
      <c r="D58" s="33"/>
    </row>
    <row r="59">
      <c r="A59" s="1" t="s">
        <v>47</v>
      </c>
      <c r="B59" s="8">
        <v>80.0</v>
      </c>
      <c r="C59" s="8"/>
      <c r="D59" s="33"/>
    </row>
    <row r="60">
      <c r="A60" s="1" t="s">
        <v>37</v>
      </c>
      <c r="B60" s="8">
        <v>50.0</v>
      </c>
      <c r="C60" s="8"/>
      <c r="D60" s="33"/>
    </row>
    <row r="61">
      <c r="A61" s="1" t="s">
        <v>56</v>
      </c>
      <c r="B61" s="8">
        <v>180.0</v>
      </c>
      <c r="C61" s="8" t="s">
        <v>1335</v>
      </c>
      <c r="D61" s="33"/>
    </row>
    <row r="62">
      <c r="A62" s="1" t="s">
        <v>37</v>
      </c>
      <c r="B62" s="8">
        <v>48.0</v>
      </c>
      <c r="C62" s="8"/>
      <c r="D62" s="33"/>
    </row>
    <row r="63">
      <c r="A63" s="1" t="s">
        <v>73</v>
      </c>
      <c r="B63" s="8">
        <v>3000.0</v>
      </c>
      <c r="C63" s="8" t="s">
        <v>1336</v>
      </c>
      <c r="D63" s="33"/>
    </row>
    <row r="64">
      <c r="A64" s="1" t="s">
        <v>41</v>
      </c>
      <c r="B64" s="8">
        <v>13.0</v>
      </c>
      <c r="C64" s="8"/>
      <c r="D64" s="33"/>
    </row>
    <row r="65">
      <c r="A65" s="1" t="s">
        <v>56</v>
      </c>
      <c r="B65" s="8">
        <v>25.0</v>
      </c>
      <c r="C65" s="8"/>
      <c r="D65" s="33"/>
    </row>
    <row r="66">
      <c r="A66" s="1" t="s">
        <v>41</v>
      </c>
      <c r="B66" s="8">
        <v>10.0</v>
      </c>
      <c r="C66" s="8"/>
      <c r="D66" s="33"/>
    </row>
    <row r="67">
      <c r="A67" s="1" t="s">
        <v>42</v>
      </c>
      <c r="B67" s="8">
        <v>21.0</v>
      </c>
      <c r="C67" s="8"/>
      <c r="D67" s="33"/>
    </row>
    <row r="68">
      <c r="A68" s="1" t="s">
        <v>56</v>
      </c>
      <c r="B68" s="8">
        <v>38.0</v>
      </c>
      <c r="C68" s="8"/>
      <c r="D68" s="33"/>
    </row>
    <row r="69">
      <c r="A69" s="1" t="s">
        <v>73</v>
      </c>
      <c r="B69" s="8">
        <v>150.0</v>
      </c>
      <c r="C69" s="8" t="s">
        <v>1179</v>
      </c>
      <c r="D69" s="33"/>
    </row>
    <row r="70">
      <c r="A70" s="1" t="s">
        <v>36</v>
      </c>
      <c r="B70" s="8">
        <v>21.0</v>
      </c>
      <c r="C70" s="8" t="s">
        <v>987</v>
      </c>
      <c r="D70" s="33"/>
    </row>
    <row r="71">
      <c r="A71" s="1" t="s">
        <v>36</v>
      </c>
      <c r="B71" s="8">
        <v>22.0</v>
      </c>
      <c r="C71" s="8"/>
      <c r="D71" s="33"/>
    </row>
    <row r="72">
      <c r="A72" s="1" t="s">
        <v>36</v>
      </c>
      <c r="B72" s="8">
        <v>40.0</v>
      </c>
      <c r="C72" s="8"/>
      <c r="D72" s="33"/>
    </row>
    <row r="73">
      <c r="A73" s="1" t="s">
        <v>41</v>
      </c>
      <c r="B73" s="8">
        <v>13.0</v>
      </c>
      <c r="C73" s="8"/>
      <c r="D73" s="35"/>
    </row>
    <row r="74">
      <c r="A74" s="1" t="s">
        <v>36</v>
      </c>
      <c r="B74" s="8">
        <v>101.0</v>
      </c>
      <c r="C74" s="8"/>
      <c r="D74" s="33"/>
    </row>
    <row r="75">
      <c r="A75" s="1" t="s">
        <v>56</v>
      </c>
      <c r="B75" s="8">
        <v>42.0</v>
      </c>
      <c r="C75" s="8" t="s">
        <v>817</v>
      </c>
      <c r="D75" s="33"/>
    </row>
    <row r="76">
      <c r="A76" s="1" t="s">
        <v>47</v>
      </c>
      <c r="B76" s="8">
        <v>16.0</v>
      </c>
      <c r="C76" s="8"/>
      <c r="D76" s="33"/>
    </row>
    <row r="77">
      <c r="A77" s="1" t="s">
        <v>36</v>
      </c>
      <c r="B77" s="8">
        <v>100.0</v>
      </c>
      <c r="C77" s="8"/>
      <c r="D77" s="33"/>
    </row>
    <row r="78">
      <c r="A78" s="1" t="s">
        <v>47</v>
      </c>
      <c r="B78" s="8">
        <v>100.0</v>
      </c>
      <c r="C78" s="8"/>
      <c r="D78" s="33"/>
    </row>
    <row r="79">
      <c r="A79" s="1" t="s">
        <v>56</v>
      </c>
      <c r="B79" s="8">
        <v>455.0</v>
      </c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  <c r="G81" s="8"/>
    </row>
    <row r="82">
      <c r="A82" s="3"/>
      <c r="B82" s="8"/>
      <c r="C82" s="8"/>
      <c r="D82" s="25"/>
      <c r="G82" s="8"/>
    </row>
    <row r="83">
      <c r="A83" s="3"/>
      <c r="B83" s="8"/>
      <c r="C83" s="8"/>
      <c r="D83" s="25"/>
      <c r="G83" s="8"/>
    </row>
    <row r="84">
      <c r="A84" s="3"/>
      <c r="B84" s="8"/>
      <c r="C84" s="2"/>
      <c r="D84" s="25"/>
      <c r="G84" s="8"/>
    </row>
    <row r="85">
      <c r="A85" s="3"/>
      <c r="B85" s="8"/>
      <c r="C85" s="8"/>
      <c r="D85" s="25"/>
      <c r="G85" s="8"/>
    </row>
    <row r="86">
      <c r="A86" s="3"/>
      <c r="B86" s="8"/>
      <c r="C86" s="8"/>
      <c r="D86" s="25"/>
      <c r="G86" s="8"/>
    </row>
    <row r="87">
      <c r="A87" s="3"/>
      <c r="B87" s="8"/>
      <c r="C87" s="8"/>
      <c r="D87" s="25"/>
      <c r="G87" s="41"/>
    </row>
    <row r="88">
      <c r="A88" s="3"/>
      <c r="B88" s="2"/>
      <c r="C88" s="2"/>
      <c r="D88" s="25"/>
      <c r="G88" s="8"/>
    </row>
    <row r="89">
      <c r="A89" s="3"/>
      <c r="B89" s="2"/>
      <c r="C89" s="2"/>
      <c r="D89" s="25"/>
      <c r="G89" s="8"/>
    </row>
    <row r="90">
      <c r="A90" s="3"/>
      <c r="B90" s="2"/>
      <c r="C90" s="2"/>
      <c r="D90" s="25"/>
      <c r="G90" s="8"/>
    </row>
    <row r="91">
      <c r="A91" s="3"/>
      <c r="B91" s="2"/>
      <c r="C91" s="2"/>
      <c r="D91" s="25"/>
      <c r="G91" s="8"/>
    </row>
    <row r="92">
      <c r="A92" s="3"/>
      <c r="B92" s="2"/>
      <c r="C92" s="2"/>
      <c r="D92" s="25"/>
      <c r="G92" s="8"/>
    </row>
    <row r="93">
      <c r="A93" s="3"/>
      <c r="B93" s="2"/>
      <c r="C93" s="2"/>
      <c r="D93" s="25"/>
      <c r="G93" s="8"/>
    </row>
    <row r="94">
      <c r="A94" s="3"/>
      <c r="B94" s="2"/>
      <c r="C94" s="2"/>
      <c r="D94" s="25"/>
      <c r="G94" s="8"/>
    </row>
    <row r="95">
      <c r="A95" s="3"/>
      <c r="B95" s="2"/>
      <c r="C95" s="2"/>
      <c r="D95" s="25"/>
      <c r="G95" s="8"/>
    </row>
    <row r="96">
      <c r="A96" s="3"/>
      <c r="B96" s="2"/>
      <c r="C96" s="2"/>
      <c r="D96" s="25"/>
      <c r="G96" s="8"/>
    </row>
    <row r="97">
      <c r="A97" s="3"/>
      <c r="B97" s="2"/>
      <c r="C97" s="2"/>
      <c r="D97" s="25"/>
      <c r="G97" s="8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274A18ED-3EEE-404A-82AF-9767D45217F0}" filter="1" showAutoFilter="1">
      <autoFilter ref="$G$15"/>
    </customSheetView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7062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73</v>
      </c>
      <c r="B3" s="8">
        <v>150.0</v>
      </c>
      <c r="C3" s="8" t="s">
        <v>1142</v>
      </c>
      <c r="D3" s="33"/>
      <c r="E3" s="1" t="s">
        <v>34</v>
      </c>
      <c r="F3" s="8">
        <v>16800.0</v>
      </c>
      <c r="H3" s="8">
        <f>Zbiorczy!D21</f>
        <v>76453.29</v>
      </c>
      <c r="J3" s="3">
        <f t="shared" ref="J3:J7" si="1">SUMIF($A$3:A$101, K3, B$3:B$101)</f>
        <v>1850</v>
      </c>
      <c r="K3" s="1" t="s">
        <v>35</v>
      </c>
      <c r="M3" s="3">
        <f t="shared" ref="M3:M8" si="2">SUMIF($A$3:A$101, N3, B$3:B$101)</f>
        <v>1752</v>
      </c>
      <c r="N3" s="1" t="s">
        <v>36</v>
      </c>
    </row>
    <row r="4">
      <c r="A4" s="1" t="s">
        <v>42</v>
      </c>
      <c r="B4" s="8">
        <v>82.0</v>
      </c>
      <c r="C4" s="8"/>
      <c r="D4" s="33"/>
      <c r="F4" s="8"/>
      <c r="J4" s="3">
        <f t="shared" si="1"/>
        <v>2627</v>
      </c>
      <c r="K4" s="1" t="s">
        <v>40</v>
      </c>
      <c r="M4" s="3">
        <f t="shared" si="2"/>
        <v>20</v>
      </c>
      <c r="N4" s="1" t="s">
        <v>41</v>
      </c>
    </row>
    <row r="5">
      <c r="A5" s="1" t="s">
        <v>47</v>
      </c>
      <c r="B5" s="8">
        <v>350.0</v>
      </c>
      <c r="C5" s="8"/>
      <c r="D5" s="35"/>
      <c r="J5" s="3">
        <f t="shared" si="1"/>
        <v>0</v>
      </c>
      <c r="K5" s="1" t="s">
        <v>46</v>
      </c>
      <c r="M5" s="3">
        <f t="shared" si="2"/>
        <v>360</v>
      </c>
      <c r="N5" s="1" t="s">
        <v>47</v>
      </c>
    </row>
    <row r="6">
      <c r="A6" s="1" t="s">
        <v>36</v>
      </c>
      <c r="B6" s="8">
        <v>22.0</v>
      </c>
      <c r="C6" s="8"/>
      <c r="D6" s="35"/>
      <c r="J6" s="3">
        <f t="shared" si="1"/>
        <v>1600</v>
      </c>
      <c r="K6" s="1" t="s">
        <v>50</v>
      </c>
      <c r="M6" s="3">
        <f t="shared" si="2"/>
        <v>270</v>
      </c>
      <c r="N6" s="1" t="s">
        <v>51</v>
      </c>
    </row>
    <row r="7">
      <c r="A7" s="1" t="s">
        <v>56</v>
      </c>
      <c r="B7" s="8">
        <v>11.0</v>
      </c>
      <c r="C7" s="40" t="s">
        <v>1337</v>
      </c>
      <c r="D7" s="33"/>
      <c r="J7" s="3">
        <f t="shared" si="1"/>
        <v>985</v>
      </c>
      <c r="K7" s="1" t="s">
        <v>55</v>
      </c>
      <c r="M7" s="3">
        <f t="shared" si="2"/>
        <v>1464</v>
      </c>
      <c r="N7" s="1" t="s">
        <v>56</v>
      </c>
    </row>
    <row r="8">
      <c r="A8" s="1" t="s">
        <v>40</v>
      </c>
      <c r="B8" s="1">
        <v>65.0</v>
      </c>
      <c r="D8" s="33"/>
      <c r="M8" s="3">
        <f t="shared" si="2"/>
        <v>360</v>
      </c>
      <c r="N8" s="1" t="s">
        <v>47</v>
      </c>
    </row>
    <row r="9">
      <c r="A9" s="1" t="s">
        <v>58</v>
      </c>
      <c r="B9" s="8">
        <v>83.0</v>
      </c>
      <c r="C9" s="8" t="s">
        <v>783</v>
      </c>
      <c r="D9" s="33"/>
    </row>
    <row r="10">
      <c r="A10" s="1" t="s">
        <v>56</v>
      </c>
      <c r="B10" s="8">
        <v>240.0</v>
      </c>
      <c r="C10" s="8" t="s">
        <v>1021</v>
      </c>
      <c r="D10" s="35"/>
    </row>
    <row r="11">
      <c r="A11" s="1" t="s">
        <v>50</v>
      </c>
      <c r="B11" s="8">
        <v>1400.0</v>
      </c>
      <c r="C11" s="8"/>
      <c r="D11" s="35"/>
    </row>
    <row r="12">
      <c r="A12" s="1" t="s">
        <v>36</v>
      </c>
      <c r="B12" s="8">
        <v>120.0</v>
      </c>
      <c r="C12" s="8"/>
      <c r="D12" s="35"/>
    </row>
    <row r="13">
      <c r="A13" s="1" t="s">
        <v>36</v>
      </c>
      <c r="B13" s="8">
        <v>30.0</v>
      </c>
      <c r="C13" s="8"/>
      <c r="D13" s="33"/>
    </row>
    <row r="14">
      <c r="A14" s="1" t="s">
        <v>56</v>
      </c>
      <c r="B14" s="8">
        <v>165.0</v>
      </c>
      <c r="C14" s="8"/>
      <c r="D14" s="33"/>
    </row>
    <row r="15">
      <c r="A15" s="1" t="s">
        <v>40</v>
      </c>
      <c r="B15" s="8">
        <v>2262.0</v>
      </c>
      <c r="C15" s="8"/>
      <c r="D15" s="33"/>
    </row>
    <row r="16">
      <c r="A16" s="1" t="s">
        <v>51</v>
      </c>
      <c r="B16" s="8">
        <v>270.0</v>
      </c>
      <c r="C16" s="8"/>
      <c r="D16" s="33"/>
    </row>
    <row r="17">
      <c r="A17" s="1" t="s">
        <v>55</v>
      </c>
      <c r="B17" s="8">
        <v>820.0</v>
      </c>
      <c r="C17" s="8"/>
      <c r="D17" s="33"/>
    </row>
    <row r="18">
      <c r="A18" s="1" t="s">
        <v>55</v>
      </c>
      <c r="B18" s="8">
        <v>165.0</v>
      </c>
      <c r="C18" s="8"/>
      <c r="D18" s="25"/>
    </row>
    <row r="19">
      <c r="A19" s="1" t="s">
        <v>40</v>
      </c>
      <c r="B19" s="8">
        <v>300.0</v>
      </c>
      <c r="C19" s="8"/>
      <c r="D19" s="33"/>
    </row>
    <row r="20">
      <c r="A20" s="1" t="s">
        <v>42</v>
      </c>
      <c r="B20" s="1">
        <v>300.0</v>
      </c>
      <c r="C20" s="8"/>
      <c r="D20" s="33"/>
    </row>
    <row r="21">
      <c r="A21" s="1" t="s">
        <v>36</v>
      </c>
      <c r="B21" s="30">
        <v>41.0</v>
      </c>
      <c r="C21" s="8"/>
      <c r="D21" s="33"/>
    </row>
    <row r="22">
      <c r="A22" s="1" t="s">
        <v>56</v>
      </c>
      <c r="B22" s="8">
        <v>50.0</v>
      </c>
      <c r="C22" s="8"/>
      <c r="D22" s="33"/>
    </row>
    <row r="23">
      <c r="A23" s="1" t="s">
        <v>56</v>
      </c>
      <c r="B23" s="8">
        <v>50.0</v>
      </c>
      <c r="C23" s="8" t="s">
        <v>957</v>
      </c>
      <c r="D23" s="33"/>
    </row>
    <row r="24">
      <c r="A24" s="1" t="s">
        <v>56</v>
      </c>
      <c r="B24" s="41">
        <v>16.0</v>
      </c>
      <c r="C24" s="8" t="s">
        <v>1338</v>
      </c>
      <c r="D24" s="33"/>
    </row>
    <row r="25">
      <c r="A25" s="1" t="s">
        <v>36</v>
      </c>
      <c r="B25" s="8">
        <v>10.0</v>
      </c>
      <c r="C25" s="8"/>
      <c r="D25" s="33"/>
    </row>
    <row r="26">
      <c r="A26" s="1" t="s">
        <v>73</v>
      </c>
      <c r="B26" s="8">
        <v>150.0</v>
      </c>
      <c r="C26" s="8"/>
      <c r="D26" s="33"/>
    </row>
    <row r="27">
      <c r="A27" s="1" t="s">
        <v>73</v>
      </c>
      <c r="B27" s="8">
        <v>150.0</v>
      </c>
      <c r="C27" s="8"/>
      <c r="D27" s="33"/>
    </row>
    <row r="28">
      <c r="A28" s="1" t="s">
        <v>201</v>
      </c>
      <c r="B28" s="8">
        <v>1850.0</v>
      </c>
      <c r="C28" s="8"/>
      <c r="D28" s="33"/>
    </row>
    <row r="29">
      <c r="A29" s="1" t="s">
        <v>41</v>
      </c>
      <c r="B29" s="8">
        <v>20.0</v>
      </c>
      <c r="C29" s="8"/>
      <c r="D29" s="33"/>
    </row>
    <row r="30">
      <c r="A30" s="1" t="s">
        <v>56</v>
      </c>
      <c r="B30" s="8">
        <v>150.0</v>
      </c>
      <c r="C30" s="8" t="s">
        <v>1058</v>
      </c>
      <c r="D30" s="35"/>
    </row>
    <row r="31">
      <c r="A31" s="1" t="s">
        <v>56</v>
      </c>
      <c r="B31" s="8">
        <v>103.0</v>
      </c>
      <c r="C31" s="8"/>
      <c r="D31" s="33"/>
    </row>
    <row r="32">
      <c r="A32" s="1" t="s">
        <v>47</v>
      </c>
      <c r="B32" s="8">
        <v>10.0</v>
      </c>
      <c r="C32" s="8"/>
      <c r="D32" s="33"/>
    </row>
    <row r="33">
      <c r="A33" s="1" t="s">
        <v>36</v>
      </c>
      <c r="B33" s="8">
        <v>40.0</v>
      </c>
      <c r="C33" s="8"/>
      <c r="D33" s="33"/>
    </row>
    <row r="34">
      <c r="A34" s="1" t="s">
        <v>50</v>
      </c>
      <c r="B34" s="8">
        <v>200.0</v>
      </c>
      <c r="C34" s="42"/>
      <c r="D34" s="33"/>
    </row>
    <row r="35">
      <c r="A35" s="1" t="s">
        <v>56</v>
      </c>
      <c r="B35" s="8">
        <v>261.0</v>
      </c>
      <c r="C35" s="8" t="s">
        <v>1339</v>
      </c>
      <c r="D35" s="33"/>
    </row>
    <row r="36">
      <c r="A36" s="1" t="s">
        <v>36</v>
      </c>
      <c r="B36" s="41">
        <v>672.0</v>
      </c>
      <c r="C36" s="8"/>
      <c r="D36" s="33"/>
    </row>
    <row r="37">
      <c r="A37" s="1" t="s">
        <v>42</v>
      </c>
      <c r="B37" s="8">
        <v>120.0</v>
      </c>
      <c r="C37" s="8"/>
      <c r="D37" s="33"/>
    </row>
    <row r="38">
      <c r="A38" s="1" t="s">
        <v>56</v>
      </c>
      <c r="B38" s="8">
        <v>53.0</v>
      </c>
      <c r="C38" s="8"/>
      <c r="D38" s="33"/>
    </row>
    <row r="39">
      <c r="A39" s="1" t="s">
        <v>56</v>
      </c>
      <c r="B39" s="8">
        <v>135.0</v>
      </c>
      <c r="C39" s="8" t="s">
        <v>1340</v>
      </c>
      <c r="D39" s="33"/>
    </row>
    <row r="40">
      <c r="A40" s="1" t="s">
        <v>148</v>
      </c>
      <c r="B40" s="8">
        <v>50.0</v>
      </c>
      <c r="C40" s="8"/>
      <c r="D40" s="33"/>
    </row>
    <row r="41">
      <c r="A41" s="1" t="s">
        <v>56</v>
      </c>
      <c r="B41" s="8">
        <v>230.0</v>
      </c>
      <c r="C41" s="8" t="s">
        <v>1341</v>
      </c>
      <c r="D41" s="33"/>
    </row>
    <row r="42">
      <c r="A42" s="1" t="s">
        <v>36</v>
      </c>
      <c r="B42" s="8">
        <v>71.0</v>
      </c>
      <c r="C42" s="8"/>
      <c r="D42" s="33"/>
    </row>
    <row r="43">
      <c r="A43" s="1" t="s">
        <v>37</v>
      </c>
      <c r="B43" s="8">
        <v>90.0</v>
      </c>
      <c r="C43" s="8"/>
      <c r="D43" s="33"/>
    </row>
    <row r="44">
      <c r="A44" s="1" t="s">
        <v>58</v>
      </c>
      <c r="B44" s="8">
        <v>520.0</v>
      </c>
      <c r="C44" s="8" t="s">
        <v>788</v>
      </c>
      <c r="D44" s="33"/>
    </row>
    <row r="45">
      <c r="A45" s="1" t="s">
        <v>58</v>
      </c>
      <c r="B45" s="8">
        <v>180.0</v>
      </c>
      <c r="C45" s="8" t="s">
        <v>788</v>
      </c>
      <c r="D45" s="33"/>
    </row>
    <row r="46">
      <c r="A46" s="1" t="s">
        <v>58</v>
      </c>
      <c r="B46" s="8">
        <v>260.0</v>
      </c>
      <c r="C46" s="8" t="s">
        <v>1143</v>
      </c>
      <c r="D46" s="33"/>
    </row>
    <row r="47">
      <c r="A47" s="1" t="s">
        <v>36</v>
      </c>
      <c r="B47" s="8">
        <v>746.0</v>
      </c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/>
      <c r="C1" s="1"/>
      <c r="E1" s="1" t="s">
        <v>27</v>
      </c>
      <c r="H1" s="1" t="s">
        <v>28</v>
      </c>
      <c r="J1" s="1" t="s">
        <v>29</v>
      </c>
      <c r="K1" s="6">
        <f>SUM(J3:J1002)</f>
        <v>8652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8">
        <v>2150.0</v>
      </c>
      <c r="C3" s="8" t="s">
        <v>1342</v>
      </c>
      <c r="D3" s="33"/>
      <c r="E3" s="1" t="s">
        <v>34</v>
      </c>
      <c r="F3" s="8">
        <v>21708.0</v>
      </c>
      <c r="H3" s="8">
        <f>Zbiorczy!D20</f>
        <v>80880.29</v>
      </c>
      <c r="J3" s="3">
        <f t="shared" ref="J3:J7" si="1">SUMIF($A$3:A$101, K3, B$3:B$101)</f>
        <v>3128</v>
      </c>
      <c r="K3" s="1" t="s">
        <v>35</v>
      </c>
      <c r="M3" s="3">
        <f t="shared" ref="M3:M8" si="2">SUMIF($A$3:A$101, N3, B$3:B$101)</f>
        <v>911</v>
      </c>
      <c r="N3" s="1" t="s">
        <v>36</v>
      </c>
    </row>
    <row r="4">
      <c r="A4" s="1" t="s">
        <v>41</v>
      </c>
      <c r="B4" s="8">
        <v>16.0</v>
      </c>
      <c r="C4" s="8"/>
      <c r="D4" s="33"/>
      <c r="F4" s="8"/>
      <c r="J4" s="3">
        <f t="shared" si="1"/>
        <v>2476</v>
      </c>
      <c r="K4" s="1" t="s">
        <v>40</v>
      </c>
      <c r="M4" s="3">
        <f t="shared" si="2"/>
        <v>75</v>
      </c>
      <c r="N4" s="1" t="s">
        <v>41</v>
      </c>
    </row>
    <row r="5">
      <c r="A5" s="1" t="s">
        <v>50</v>
      </c>
      <c r="B5" s="8">
        <v>150.0</v>
      </c>
      <c r="C5" s="8"/>
      <c r="D5" s="35"/>
      <c r="J5" s="3">
        <f t="shared" si="1"/>
        <v>0</v>
      </c>
      <c r="K5" s="1" t="s">
        <v>46</v>
      </c>
      <c r="M5" s="3">
        <f t="shared" si="2"/>
        <v>440</v>
      </c>
      <c r="N5" s="1" t="s">
        <v>47</v>
      </c>
    </row>
    <row r="6">
      <c r="A6" s="1" t="s">
        <v>56</v>
      </c>
      <c r="B6" s="8">
        <v>40.0</v>
      </c>
      <c r="C6" s="8"/>
      <c r="D6" s="35"/>
      <c r="J6" s="3">
        <f t="shared" si="1"/>
        <v>2228</v>
      </c>
      <c r="K6" s="1" t="s">
        <v>50</v>
      </c>
      <c r="M6" s="3">
        <f t="shared" si="2"/>
        <v>220</v>
      </c>
      <c r="N6" s="1" t="s">
        <v>51</v>
      </c>
    </row>
    <row r="7">
      <c r="A7" s="1" t="s">
        <v>36</v>
      </c>
      <c r="B7" s="8">
        <v>36.0</v>
      </c>
      <c r="C7" s="40"/>
      <c r="D7" s="33"/>
      <c r="J7" s="3">
        <f t="shared" si="1"/>
        <v>820</v>
      </c>
      <c r="K7" s="1" t="s">
        <v>55</v>
      </c>
      <c r="M7" s="3">
        <f t="shared" si="2"/>
        <v>7151</v>
      </c>
      <c r="N7" s="1" t="s">
        <v>56</v>
      </c>
    </row>
    <row r="8">
      <c r="A8" s="1" t="s">
        <v>36</v>
      </c>
      <c r="B8" s="1">
        <v>21.0</v>
      </c>
      <c r="D8" s="33"/>
      <c r="M8" s="3">
        <f t="shared" si="2"/>
        <v>440</v>
      </c>
      <c r="N8" s="1" t="s">
        <v>47</v>
      </c>
    </row>
    <row r="9">
      <c r="A9" s="1" t="s">
        <v>58</v>
      </c>
      <c r="B9" s="8">
        <v>114.0</v>
      </c>
      <c r="C9" s="8"/>
      <c r="D9" s="33"/>
    </row>
    <row r="10">
      <c r="A10" s="1" t="s">
        <v>56</v>
      </c>
      <c r="B10" s="8">
        <v>59.0</v>
      </c>
      <c r="C10" s="8"/>
      <c r="D10" s="35"/>
    </row>
    <row r="11">
      <c r="A11" s="1" t="s">
        <v>56</v>
      </c>
      <c r="B11" s="8">
        <v>79.0</v>
      </c>
      <c r="C11" s="8"/>
      <c r="D11" s="35"/>
    </row>
    <row r="12">
      <c r="A12" s="1" t="s">
        <v>148</v>
      </c>
      <c r="B12" s="8">
        <v>70.0</v>
      </c>
      <c r="C12" s="8"/>
      <c r="D12" s="35"/>
    </row>
    <row r="13">
      <c r="A13" s="1" t="s">
        <v>56</v>
      </c>
      <c r="B13" s="8">
        <v>20.0</v>
      </c>
      <c r="C13" s="8"/>
      <c r="D13" s="33"/>
    </row>
    <row r="14">
      <c r="A14" s="1" t="s">
        <v>56</v>
      </c>
      <c r="B14" s="8">
        <v>90.0</v>
      </c>
      <c r="C14" s="8"/>
      <c r="D14" s="33"/>
    </row>
    <row r="15">
      <c r="A15" s="1" t="s">
        <v>58</v>
      </c>
      <c r="B15" s="8">
        <v>83.0</v>
      </c>
      <c r="C15" s="8"/>
      <c r="D15" s="33"/>
    </row>
    <row r="16">
      <c r="A16" s="1" t="s">
        <v>58</v>
      </c>
      <c r="B16" s="8">
        <v>2340.0</v>
      </c>
      <c r="C16" s="8"/>
      <c r="D16" s="33"/>
    </row>
    <row r="17">
      <c r="A17" s="1" t="s">
        <v>47</v>
      </c>
      <c r="B17" s="8">
        <v>350.0</v>
      </c>
      <c r="C17" s="8"/>
      <c r="D17" s="33"/>
    </row>
    <row r="18">
      <c r="A18" s="1" t="s">
        <v>56</v>
      </c>
      <c r="B18" s="8">
        <v>375.0</v>
      </c>
      <c r="C18" s="8"/>
      <c r="D18" s="25"/>
    </row>
    <row r="19">
      <c r="A19" s="1" t="s">
        <v>36</v>
      </c>
      <c r="B19" s="8">
        <v>20.0</v>
      </c>
      <c r="C19" s="8"/>
      <c r="D19" s="33"/>
    </row>
    <row r="20">
      <c r="A20" s="1" t="s">
        <v>41</v>
      </c>
      <c r="B20" s="1">
        <v>36.0</v>
      </c>
      <c r="C20" s="8"/>
      <c r="D20" s="33"/>
    </row>
    <row r="21">
      <c r="A21" s="1" t="s">
        <v>36</v>
      </c>
      <c r="B21" s="30">
        <v>65.0</v>
      </c>
      <c r="C21" s="8"/>
      <c r="D21" s="33"/>
    </row>
    <row r="22">
      <c r="A22" s="1" t="s">
        <v>47</v>
      </c>
      <c r="B22" s="8">
        <v>90.0</v>
      </c>
      <c r="C22" s="8" t="s">
        <v>989</v>
      </c>
      <c r="D22" s="33"/>
    </row>
    <row r="23">
      <c r="A23" s="1" t="s">
        <v>50</v>
      </c>
      <c r="B23" s="8">
        <v>1441.0</v>
      </c>
      <c r="C23" s="8"/>
      <c r="D23" s="33"/>
    </row>
    <row r="24">
      <c r="A24" s="1" t="s">
        <v>56</v>
      </c>
      <c r="B24" s="41">
        <v>362.0</v>
      </c>
      <c r="C24" s="8" t="s">
        <v>1343</v>
      </c>
      <c r="D24" s="33"/>
    </row>
    <row r="25">
      <c r="A25" s="1" t="s">
        <v>56</v>
      </c>
      <c r="B25" s="8">
        <v>3600.0</v>
      </c>
      <c r="C25" s="8"/>
      <c r="D25" s="33"/>
    </row>
    <row r="26">
      <c r="A26" s="1" t="s">
        <v>50</v>
      </c>
      <c r="B26" s="8">
        <v>500.0</v>
      </c>
      <c r="C26" s="8" t="s">
        <v>1344</v>
      </c>
      <c r="D26" s="33"/>
    </row>
    <row r="27">
      <c r="A27" s="1" t="s">
        <v>50</v>
      </c>
      <c r="B27" s="8">
        <v>137.0</v>
      </c>
      <c r="C27" s="8"/>
      <c r="D27" s="33"/>
    </row>
    <row r="28">
      <c r="A28" s="1" t="s">
        <v>36</v>
      </c>
      <c r="B28" s="8">
        <v>31.0</v>
      </c>
      <c r="C28" s="8"/>
      <c r="D28" s="33"/>
    </row>
    <row r="29">
      <c r="A29" s="1" t="s">
        <v>56</v>
      </c>
      <c r="B29" s="8">
        <v>55.0</v>
      </c>
      <c r="C29" s="8"/>
      <c r="D29" s="33"/>
    </row>
    <row r="30">
      <c r="A30" s="1" t="s">
        <v>56</v>
      </c>
      <c r="B30" s="8">
        <v>47.0</v>
      </c>
      <c r="C30" s="8"/>
      <c r="D30" s="35"/>
    </row>
    <row r="31">
      <c r="A31" s="1" t="s">
        <v>36</v>
      </c>
      <c r="B31" s="8">
        <v>15.0</v>
      </c>
      <c r="C31" s="8"/>
      <c r="D31" s="33"/>
    </row>
    <row r="32">
      <c r="A32" s="1" t="s">
        <v>36</v>
      </c>
      <c r="B32" s="8">
        <v>70.0</v>
      </c>
      <c r="C32" s="8"/>
      <c r="D32" s="33"/>
    </row>
    <row r="33">
      <c r="A33" s="1" t="s">
        <v>51</v>
      </c>
      <c r="B33" s="8">
        <v>220.0</v>
      </c>
      <c r="C33" s="8"/>
      <c r="D33" s="33"/>
    </row>
    <row r="34">
      <c r="A34" s="1" t="s">
        <v>56</v>
      </c>
      <c r="B34" s="8">
        <v>33.0</v>
      </c>
      <c r="C34" s="42"/>
      <c r="D34" s="33"/>
    </row>
    <row r="35">
      <c r="A35" s="1" t="s">
        <v>36</v>
      </c>
      <c r="B35" s="8">
        <v>43.0</v>
      </c>
      <c r="C35" s="8"/>
      <c r="D35" s="33"/>
    </row>
    <row r="36">
      <c r="A36" s="1" t="s">
        <v>56</v>
      </c>
      <c r="B36" s="41">
        <v>41.0</v>
      </c>
      <c r="C36" s="8"/>
      <c r="D36" s="33"/>
    </row>
    <row r="37">
      <c r="A37" s="1" t="s">
        <v>201</v>
      </c>
      <c r="B37" s="8">
        <v>1548.0</v>
      </c>
      <c r="C37" s="8"/>
      <c r="D37" s="33"/>
    </row>
    <row r="38">
      <c r="A38" s="1" t="s">
        <v>41</v>
      </c>
      <c r="B38" s="8">
        <v>5.0</v>
      </c>
      <c r="C38" s="8"/>
      <c r="D38" s="33"/>
    </row>
    <row r="39">
      <c r="A39" s="1" t="s">
        <v>55</v>
      </c>
      <c r="B39" s="8">
        <v>820.0</v>
      </c>
      <c r="C39" s="8"/>
      <c r="D39" s="33"/>
    </row>
    <row r="40">
      <c r="A40" s="1" t="s">
        <v>201</v>
      </c>
      <c r="B40" s="8">
        <v>1580.0</v>
      </c>
      <c r="C40" s="8"/>
      <c r="D40" s="33"/>
    </row>
    <row r="41">
      <c r="A41" s="1" t="s">
        <v>56</v>
      </c>
      <c r="B41" s="8">
        <v>200.0</v>
      </c>
      <c r="C41" s="8" t="s">
        <v>1345</v>
      </c>
      <c r="D41" s="33"/>
    </row>
    <row r="42">
      <c r="A42" s="1" t="s">
        <v>148</v>
      </c>
      <c r="B42" s="8">
        <v>80.0</v>
      </c>
      <c r="C42" s="8"/>
      <c r="D42" s="33"/>
    </row>
    <row r="43">
      <c r="A43" s="1" t="s">
        <v>41</v>
      </c>
      <c r="B43" s="8">
        <v>18.0</v>
      </c>
      <c r="C43" s="8"/>
      <c r="D43" s="33"/>
    </row>
    <row r="44">
      <c r="A44" s="1" t="s">
        <v>40</v>
      </c>
      <c r="B44" s="8">
        <v>2476.0</v>
      </c>
      <c r="C44" s="8"/>
      <c r="D44" s="33"/>
    </row>
    <row r="45">
      <c r="A45" s="1" t="s">
        <v>58</v>
      </c>
      <c r="B45" s="8">
        <v>5999.0</v>
      </c>
      <c r="C45" s="8" t="s">
        <v>1346</v>
      </c>
      <c r="D45" s="33"/>
    </row>
    <row r="46">
      <c r="A46" s="1" t="s">
        <v>36</v>
      </c>
      <c r="B46" s="8">
        <v>610.0</v>
      </c>
      <c r="C46" s="8"/>
      <c r="D46" s="33"/>
    </row>
    <row r="47">
      <c r="A47" s="3"/>
      <c r="B47" s="8"/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8"/>
      <c r="D85" s="25"/>
    </row>
    <row r="86">
      <c r="A86" s="3"/>
      <c r="B86" s="8"/>
      <c r="C86" s="8"/>
      <c r="D86" s="25"/>
    </row>
    <row r="87">
      <c r="A87" s="3"/>
      <c r="B87" s="8"/>
      <c r="C87" s="8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7">
        <sortState ref="A2:D87">
          <sortCondition ref="D2:D87"/>
          <sortCondition ref="B2:B87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SUM(J3:J1001)</f>
        <v>10246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224</v>
      </c>
      <c r="B3" s="30">
        <v>150.0</v>
      </c>
      <c r="C3" s="8"/>
      <c r="D3" s="33"/>
      <c r="E3" s="1" t="s">
        <v>34</v>
      </c>
      <c r="F3" s="8">
        <v>23873.0</v>
      </c>
      <c r="H3" s="8">
        <f>Zbiorczy!D19</f>
        <v>77018.29</v>
      </c>
      <c r="J3" s="3">
        <f t="shared" ref="J3:J7" si="1">SUMIF($A$3:A$100, K3, B$3:B$100)</f>
        <v>1457</v>
      </c>
      <c r="K3" s="1" t="s">
        <v>35</v>
      </c>
      <c r="M3" s="3">
        <f t="shared" ref="M3:M7" si="2">SUMIF($A$3:A$100, N3, B$3:B$100)</f>
        <v>662</v>
      </c>
      <c r="N3" s="1" t="s">
        <v>36</v>
      </c>
    </row>
    <row r="4">
      <c r="A4" s="1" t="s">
        <v>307</v>
      </c>
      <c r="B4" s="8">
        <v>50.0</v>
      </c>
      <c r="C4" s="8"/>
      <c r="D4" s="33"/>
      <c r="F4" s="8"/>
      <c r="J4" s="3">
        <f t="shared" si="1"/>
        <v>2309</v>
      </c>
      <c r="K4" s="1" t="s">
        <v>40</v>
      </c>
      <c r="M4" s="3">
        <f t="shared" si="2"/>
        <v>46</v>
      </c>
      <c r="N4" s="1" t="s">
        <v>41</v>
      </c>
    </row>
    <row r="5">
      <c r="A5" s="1" t="s">
        <v>58</v>
      </c>
      <c r="B5" s="8">
        <v>203.0</v>
      </c>
      <c r="C5" s="8" t="s">
        <v>782</v>
      </c>
      <c r="D5" s="35"/>
      <c r="J5" s="3">
        <f t="shared" si="1"/>
        <v>3795</v>
      </c>
      <c r="K5" s="1" t="s">
        <v>46</v>
      </c>
      <c r="M5" s="3">
        <f t="shared" si="2"/>
        <v>42</v>
      </c>
      <c r="N5" s="1" t="s">
        <v>47</v>
      </c>
    </row>
    <row r="6">
      <c r="A6" s="1" t="s">
        <v>58</v>
      </c>
      <c r="B6" s="8">
        <v>82.0</v>
      </c>
      <c r="C6" s="8" t="s">
        <v>783</v>
      </c>
      <c r="D6" s="35"/>
      <c r="J6" s="3">
        <f t="shared" si="1"/>
        <v>1715</v>
      </c>
      <c r="K6" s="1" t="s">
        <v>50</v>
      </c>
      <c r="M6" s="3">
        <f t="shared" si="2"/>
        <v>640</v>
      </c>
      <c r="N6" s="1" t="s">
        <v>51</v>
      </c>
    </row>
    <row r="7">
      <c r="A7" s="1" t="s">
        <v>201</v>
      </c>
      <c r="B7" s="8">
        <v>1457.0</v>
      </c>
      <c r="C7" s="40"/>
      <c r="D7" s="33"/>
      <c r="J7" s="3">
        <f t="shared" si="1"/>
        <v>970</v>
      </c>
      <c r="K7" s="1" t="s">
        <v>55</v>
      </c>
      <c r="M7" s="3">
        <f t="shared" si="2"/>
        <v>5913</v>
      </c>
      <c r="N7" s="1" t="s">
        <v>56</v>
      </c>
    </row>
    <row r="8">
      <c r="A8" s="1" t="s">
        <v>1172</v>
      </c>
      <c r="B8" s="1">
        <v>175.0</v>
      </c>
      <c r="D8" s="33"/>
      <c r="M8" s="3">
        <f>SUMIF($A$3:A$101, N8, B$3:B$101)</f>
        <v>42</v>
      </c>
      <c r="N8" s="1" t="s">
        <v>47</v>
      </c>
    </row>
    <row r="9">
      <c r="A9" s="1" t="s">
        <v>50</v>
      </c>
      <c r="B9" s="8">
        <v>290.0</v>
      </c>
      <c r="C9" s="8"/>
      <c r="D9" s="33"/>
    </row>
    <row r="10">
      <c r="A10" s="1" t="s">
        <v>41</v>
      </c>
      <c r="B10" s="8">
        <v>20.0</v>
      </c>
      <c r="C10" s="8"/>
      <c r="D10" s="35"/>
    </row>
    <row r="11">
      <c r="A11" s="1" t="s">
        <v>56</v>
      </c>
      <c r="B11" s="8">
        <v>37.0</v>
      </c>
      <c r="C11" s="8" t="s">
        <v>1138</v>
      </c>
      <c r="D11" s="35"/>
    </row>
    <row r="12">
      <c r="A12" s="1" t="s">
        <v>148</v>
      </c>
      <c r="B12" s="8">
        <v>78.0</v>
      </c>
      <c r="C12" s="8"/>
      <c r="D12" s="35"/>
    </row>
    <row r="13">
      <c r="A13" s="1" t="s">
        <v>56</v>
      </c>
      <c r="B13" s="8">
        <v>240.0</v>
      </c>
      <c r="C13" s="8" t="s">
        <v>1348</v>
      </c>
      <c r="D13" s="33"/>
    </row>
    <row r="14">
      <c r="A14" s="1" t="s">
        <v>842</v>
      </c>
      <c r="B14" s="8">
        <v>85.0</v>
      </c>
      <c r="C14" s="8"/>
      <c r="D14" s="33"/>
    </row>
    <row r="15">
      <c r="A15" s="1" t="s">
        <v>56</v>
      </c>
      <c r="B15" s="8">
        <v>95.0</v>
      </c>
      <c r="C15" s="8" t="s">
        <v>1349</v>
      </c>
      <c r="D15" s="33"/>
    </row>
    <row r="16">
      <c r="A16" s="1" t="s">
        <v>36</v>
      </c>
      <c r="B16" s="8">
        <v>51.0</v>
      </c>
      <c r="C16" s="8"/>
      <c r="D16" s="33"/>
    </row>
    <row r="17">
      <c r="A17" s="1" t="s">
        <v>842</v>
      </c>
      <c r="B17" s="8">
        <v>125.0</v>
      </c>
      <c r="C17" s="8"/>
      <c r="D17" s="33"/>
    </row>
    <row r="18">
      <c r="A18" s="1" t="s">
        <v>56</v>
      </c>
      <c r="B18" s="8">
        <v>800.0</v>
      </c>
      <c r="C18" s="8" t="s">
        <v>1350</v>
      </c>
      <c r="D18" s="25"/>
    </row>
    <row r="19">
      <c r="A19" s="1" t="s">
        <v>56</v>
      </c>
      <c r="B19" s="8">
        <v>2107.0</v>
      </c>
      <c r="C19" s="8" t="s">
        <v>1351</v>
      </c>
      <c r="D19" s="33"/>
    </row>
    <row r="20">
      <c r="A20" s="1" t="s">
        <v>56</v>
      </c>
      <c r="B20" s="1">
        <v>50.0</v>
      </c>
      <c r="C20" s="8" t="s">
        <v>1352</v>
      </c>
      <c r="D20" s="33"/>
    </row>
    <row r="21">
      <c r="A21" s="1" t="s">
        <v>41</v>
      </c>
      <c r="B21" s="30">
        <v>12.0</v>
      </c>
      <c r="C21" s="8"/>
      <c r="D21" s="33"/>
    </row>
    <row r="22">
      <c r="A22" s="1" t="s">
        <v>73</v>
      </c>
      <c r="B22" s="8">
        <v>150.0</v>
      </c>
      <c r="C22" s="8"/>
      <c r="D22" s="33"/>
    </row>
    <row r="23">
      <c r="A23" s="1" t="s">
        <v>56</v>
      </c>
      <c r="B23" s="8">
        <v>34.0</v>
      </c>
      <c r="C23" s="8"/>
      <c r="D23" s="33"/>
    </row>
    <row r="24">
      <c r="A24" s="1" t="s">
        <v>56</v>
      </c>
      <c r="B24" s="41">
        <v>13.0</v>
      </c>
      <c r="C24" s="8"/>
      <c r="D24" s="33"/>
    </row>
    <row r="25">
      <c r="A25" s="1" t="s">
        <v>42</v>
      </c>
      <c r="B25" s="8">
        <v>111.0</v>
      </c>
      <c r="C25" s="8"/>
      <c r="D25" s="33"/>
    </row>
    <row r="26">
      <c r="A26" s="1" t="s">
        <v>47</v>
      </c>
      <c r="B26" s="8">
        <v>9.0</v>
      </c>
      <c r="C26" s="8"/>
      <c r="D26" s="33"/>
    </row>
    <row r="27">
      <c r="A27" s="1" t="s">
        <v>56</v>
      </c>
      <c r="B27" s="8">
        <v>33.0</v>
      </c>
      <c r="C27" s="8"/>
      <c r="D27" s="33"/>
    </row>
    <row r="28">
      <c r="A28" s="1" t="s">
        <v>56</v>
      </c>
      <c r="B28" s="8">
        <v>220.0</v>
      </c>
      <c r="C28" s="8"/>
      <c r="D28" s="33"/>
    </row>
    <row r="29">
      <c r="A29" s="1" t="s">
        <v>56</v>
      </c>
      <c r="B29" s="8">
        <v>60.0</v>
      </c>
      <c r="C29" s="8"/>
      <c r="D29" s="33"/>
    </row>
    <row r="30">
      <c r="A30" s="1" t="s">
        <v>56</v>
      </c>
      <c r="B30" s="8">
        <v>75.0</v>
      </c>
      <c r="C30" s="8"/>
      <c r="D30" s="35"/>
    </row>
    <row r="31">
      <c r="A31" s="1" t="s">
        <v>1353</v>
      </c>
      <c r="B31" s="8">
        <v>103.0</v>
      </c>
      <c r="C31" s="8"/>
      <c r="D31" s="33"/>
    </row>
    <row r="32">
      <c r="A32" s="1" t="s">
        <v>56</v>
      </c>
      <c r="B32" s="8">
        <v>500.0</v>
      </c>
      <c r="C32" s="8" t="s">
        <v>1028</v>
      </c>
      <c r="D32" s="33"/>
    </row>
    <row r="33">
      <c r="A33" s="1" t="s">
        <v>56</v>
      </c>
      <c r="B33" s="8">
        <v>8.0</v>
      </c>
      <c r="C33" s="8"/>
      <c r="D33" s="33"/>
    </row>
    <row r="34">
      <c r="A34" s="1" t="s">
        <v>56</v>
      </c>
      <c r="B34" s="8">
        <v>50.0</v>
      </c>
      <c r="C34" s="42" t="s">
        <v>957</v>
      </c>
      <c r="D34" s="33"/>
    </row>
    <row r="35">
      <c r="A35" s="1" t="s">
        <v>41</v>
      </c>
      <c r="B35" s="8">
        <v>7.0</v>
      </c>
      <c r="C35" s="8"/>
      <c r="D35" s="33"/>
    </row>
    <row r="36">
      <c r="A36" s="1" t="s">
        <v>36</v>
      </c>
      <c r="B36" s="41">
        <v>115.0</v>
      </c>
      <c r="C36" s="8"/>
      <c r="D36" s="33"/>
    </row>
    <row r="37">
      <c r="A37" s="1" t="s">
        <v>56</v>
      </c>
      <c r="B37" s="8">
        <v>50.0</v>
      </c>
      <c r="C37" s="8"/>
      <c r="D37" s="33"/>
    </row>
    <row r="38">
      <c r="A38" s="1" t="s">
        <v>47</v>
      </c>
      <c r="B38" s="8">
        <v>13.0</v>
      </c>
      <c r="C38" s="8"/>
      <c r="D38" s="33"/>
    </row>
    <row r="39">
      <c r="A39" s="1" t="s">
        <v>51</v>
      </c>
      <c r="B39" s="8">
        <v>230.0</v>
      </c>
      <c r="C39" s="8"/>
      <c r="D39" s="33"/>
    </row>
    <row r="40">
      <c r="A40" s="1" t="s">
        <v>56</v>
      </c>
      <c r="B40" s="8">
        <v>110.0</v>
      </c>
      <c r="C40" s="8"/>
      <c r="D40" s="33"/>
    </row>
    <row r="41">
      <c r="A41" s="1" t="s">
        <v>56</v>
      </c>
      <c r="B41" s="8">
        <v>47.0</v>
      </c>
      <c r="C41" s="8"/>
      <c r="D41" s="33"/>
    </row>
    <row r="42">
      <c r="A42" s="1" t="s">
        <v>1172</v>
      </c>
      <c r="B42" s="8">
        <v>170.0</v>
      </c>
      <c r="C42" s="8"/>
      <c r="D42" s="33"/>
    </row>
    <row r="43">
      <c r="A43" s="1" t="s">
        <v>56</v>
      </c>
      <c r="B43" s="8">
        <v>220.0</v>
      </c>
      <c r="C43" s="8"/>
      <c r="D43" s="33"/>
    </row>
    <row r="44">
      <c r="A44" s="1" t="s">
        <v>56</v>
      </c>
      <c r="B44" s="8">
        <v>50.0</v>
      </c>
      <c r="C44" s="8"/>
      <c r="D44" s="33"/>
    </row>
    <row r="45">
      <c r="A45" s="1" t="s">
        <v>40</v>
      </c>
      <c r="B45" s="8">
        <v>2309.0</v>
      </c>
      <c r="C45" s="8"/>
      <c r="D45" s="33"/>
    </row>
    <row r="46">
      <c r="A46" s="1" t="s">
        <v>46</v>
      </c>
      <c r="B46" s="8">
        <v>3795.0</v>
      </c>
      <c r="C46" s="8"/>
      <c r="D46" s="33"/>
    </row>
    <row r="47">
      <c r="A47" s="1" t="s">
        <v>41</v>
      </c>
      <c r="B47" s="8">
        <v>7.0</v>
      </c>
      <c r="C47" s="8"/>
      <c r="D47" s="33"/>
    </row>
    <row r="48">
      <c r="A48" s="1" t="s">
        <v>55</v>
      </c>
      <c r="B48" s="8">
        <v>803.0</v>
      </c>
      <c r="C48" s="8" t="s">
        <v>1354</v>
      </c>
      <c r="D48" s="33"/>
    </row>
    <row r="49">
      <c r="A49" s="1" t="s">
        <v>55</v>
      </c>
      <c r="B49" s="8">
        <v>167.0</v>
      </c>
      <c r="C49" s="8"/>
      <c r="D49" s="33"/>
    </row>
    <row r="50">
      <c r="A50" s="1" t="s">
        <v>42</v>
      </c>
      <c r="B50" s="8">
        <v>100.0</v>
      </c>
      <c r="C50" s="8"/>
      <c r="D50" s="33"/>
    </row>
    <row r="51">
      <c r="A51" s="1" t="s">
        <v>56</v>
      </c>
      <c r="B51" s="8">
        <v>130.0</v>
      </c>
      <c r="C51" s="8"/>
      <c r="D51" s="33"/>
    </row>
    <row r="52">
      <c r="A52" s="1" t="s">
        <v>56</v>
      </c>
      <c r="B52" s="8">
        <v>84.0</v>
      </c>
      <c r="C52" s="8"/>
      <c r="D52" s="33"/>
    </row>
    <row r="53">
      <c r="A53" s="1" t="s">
        <v>73</v>
      </c>
      <c r="B53" s="8">
        <v>150.0</v>
      </c>
      <c r="C53" s="8"/>
      <c r="D53" s="33"/>
    </row>
    <row r="54">
      <c r="A54" s="1" t="s">
        <v>56</v>
      </c>
      <c r="B54" s="8">
        <v>150.0</v>
      </c>
      <c r="C54" s="8" t="s">
        <v>1355</v>
      </c>
      <c r="D54" s="33"/>
    </row>
    <row r="55">
      <c r="A55" s="1" t="s">
        <v>56</v>
      </c>
      <c r="B55" s="8">
        <v>15.0</v>
      </c>
      <c r="C55" s="8"/>
      <c r="D55" s="33"/>
    </row>
    <row r="56">
      <c r="A56" s="1" t="s">
        <v>36</v>
      </c>
      <c r="B56" s="8">
        <v>35.0</v>
      </c>
      <c r="C56" s="8"/>
      <c r="D56" s="33"/>
    </row>
    <row r="57">
      <c r="A57" s="1" t="s">
        <v>50</v>
      </c>
      <c r="B57" s="8">
        <v>1250.0</v>
      </c>
      <c r="C57" s="8" t="s">
        <v>1356</v>
      </c>
      <c r="D57" s="33"/>
    </row>
    <row r="58">
      <c r="A58" s="1" t="s">
        <v>56</v>
      </c>
      <c r="B58" s="8">
        <v>5.0</v>
      </c>
      <c r="C58" s="8"/>
      <c r="D58" s="33"/>
    </row>
    <row r="59">
      <c r="A59" s="1" t="s">
        <v>56</v>
      </c>
      <c r="B59" s="8">
        <v>50.0</v>
      </c>
      <c r="C59" s="8"/>
      <c r="D59" s="33"/>
    </row>
    <row r="60">
      <c r="A60" s="1" t="s">
        <v>36</v>
      </c>
      <c r="B60" s="8">
        <v>96.0</v>
      </c>
      <c r="C60" s="8"/>
      <c r="D60" s="33"/>
    </row>
    <row r="61">
      <c r="A61" s="1" t="s">
        <v>36</v>
      </c>
      <c r="B61" s="8">
        <v>27.0</v>
      </c>
      <c r="C61" s="8"/>
      <c r="D61" s="33"/>
    </row>
    <row r="62">
      <c r="A62" s="1" t="s">
        <v>56</v>
      </c>
      <c r="B62" s="8">
        <v>60.0</v>
      </c>
      <c r="C62" s="8"/>
      <c r="D62" s="33"/>
    </row>
    <row r="63">
      <c r="A63" s="1" t="s">
        <v>772</v>
      </c>
      <c r="B63" s="8">
        <v>50.0</v>
      </c>
      <c r="C63" s="8"/>
      <c r="D63" s="33"/>
    </row>
    <row r="64">
      <c r="A64" s="1" t="s">
        <v>36</v>
      </c>
      <c r="B64" s="8">
        <v>13.0</v>
      </c>
      <c r="C64" s="8"/>
      <c r="D64" s="33"/>
    </row>
    <row r="65">
      <c r="A65" s="1" t="s">
        <v>56</v>
      </c>
      <c r="B65" s="8">
        <v>25.0</v>
      </c>
      <c r="C65" s="8"/>
      <c r="D65" s="33"/>
    </row>
    <row r="66">
      <c r="A66" s="1" t="s">
        <v>56</v>
      </c>
      <c r="B66" s="8">
        <v>60.0</v>
      </c>
      <c r="C66" s="8"/>
      <c r="D66" s="33"/>
    </row>
    <row r="67">
      <c r="A67" s="1" t="s">
        <v>73</v>
      </c>
      <c r="B67" s="8">
        <v>150.0</v>
      </c>
      <c r="C67" s="8"/>
      <c r="D67" s="33"/>
    </row>
    <row r="68">
      <c r="A68" s="1" t="s">
        <v>36</v>
      </c>
      <c r="B68" s="8">
        <v>130.0</v>
      </c>
      <c r="C68" s="8"/>
      <c r="D68" s="33"/>
    </row>
    <row r="69">
      <c r="A69" s="1" t="s">
        <v>56</v>
      </c>
      <c r="B69" s="8">
        <v>141.0</v>
      </c>
      <c r="C69" s="8"/>
      <c r="D69" s="33"/>
    </row>
    <row r="70">
      <c r="A70" s="1" t="s">
        <v>36</v>
      </c>
      <c r="B70" s="8">
        <v>85.0</v>
      </c>
      <c r="C70" s="8"/>
      <c r="D70" s="33"/>
    </row>
    <row r="71">
      <c r="A71" s="1" t="s">
        <v>36</v>
      </c>
      <c r="B71" s="8">
        <v>20.0</v>
      </c>
      <c r="C71" s="8"/>
      <c r="D71" s="33"/>
    </row>
    <row r="72">
      <c r="A72" s="1" t="s">
        <v>56</v>
      </c>
      <c r="B72" s="8">
        <v>30.0</v>
      </c>
      <c r="C72" s="8"/>
      <c r="D72" s="35"/>
    </row>
    <row r="73">
      <c r="A73" s="1" t="s">
        <v>56</v>
      </c>
      <c r="B73" s="8">
        <v>45.0</v>
      </c>
      <c r="C73" s="8"/>
      <c r="D73" s="33"/>
    </row>
    <row r="74">
      <c r="A74" s="1" t="s">
        <v>50</v>
      </c>
      <c r="B74" s="8">
        <v>175.0</v>
      </c>
      <c r="C74" s="8"/>
      <c r="D74" s="33"/>
    </row>
    <row r="75">
      <c r="A75" s="1" t="s">
        <v>51</v>
      </c>
      <c r="B75" s="8">
        <v>180.0</v>
      </c>
      <c r="C75" s="8"/>
      <c r="D75" s="33"/>
    </row>
    <row r="76">
      <c r="A76" s="1" t="s">
        <v>56</v>
      </c>
      <c r="B76" s="8">
        <v>101.0</v>
      </c>
      <c r="C76" s="8" t="s">
        <v>1357</v>
      </c>
      <c r="D76" s="33"/>
    </row>
    <row r="77">
      <c r="A77" s="1" t="s">
        <v>47</v>
      </c>
      <c r="B77" s="8">
        <v>20.0</v>
      </c>
      <c r="C77" s="8"/>
      <c r="D77" s="33"/>
    </row>
    <row r="78">
      <c r="A78" s="1" t="s">
        <v>56</v>
      </c>
      <c r="B78" s="8">
        <v>15.0</v>
      </c>
      <c r="C78" s="8"/>
      <c r="D78" s="25"/>
    </row>
    <row r="79">
      <c r="A79" s="1" t="s">
        <v>224</v>
      </c>
      <c r="B79" s="8">
        <v>150.0</v>
      </c>
      <c r="C79" s="8"/>
      <c r="D79" s="25"/>
    </row>
    <row r="80">
      <c r="A80" s="1" t="s">
        <v>56</v>
      </c>
      <c r="B80" s="8">
        <v>50.0</v>
      </c>
      <c r="C80" s="8" t="s">
        <v>809</v>
      </c>
      <c r="D80" s="25"/>
    </row>
    <row r="81">
      <c r="A81" s="1" t="s">
        <v>58</v>
      </c>
      <c r="B81" s="8">
        <v>260.0</v>
      </c>
      <c r="C81" s="8"/>
      <c r="D81" s="25"/>
    </row>
    <row r="82">
      <c r="A82" s="1" t="s">
        <v>51</v>
      </c>
      <c r="B82" s="8">
        <v>230.0</v>
      </c>
      <c r="C82" s="8"/>
      <c r="D82" s="25"/>
    </row>
    <row r="83">
      <c r="A83" s="1" t="s">
        <v>842</v>
      </c>
      <c r="B83" s="8">
        <v>60.0</v>
      </c>
      <c r="C83" s="2"/>
      <c r="D83" s="25"/>
    </row>
    <row r="84">
      <c r="A84" s="1" t="s">
        <v>56</v>
      </c>
      <c r="B84" s="8">
        <v>78.0</v>
      </c>
      <c r="C84" s="8" t="s">
        <v>1358</v>
      </c>
      <c r="D84" s="25"/>
    </row>
    <row r="85">
      <c r="A85" s="1" t="s">
        <v>56</v>
      </c>
      <c r="B85" s="8">
        <v>60.0</v>
      </c>
      <c r="C85" s="8" t="s">
        <v>1067</v>
      </c>
      <c r="D85" s="25"/>
    </row>
    <row r="86">
      <c r="A86" s="1" t="s">
        <v>56</v>
      </c>
      <c r="B86" s="8">
        <v>15.0</v>
      </c>
      <c r="C86" s="8" t="s">
        <v>1052</v>
      </c>
      <c r="D86" s="25"/>
    </row>
    <row r="87">
      <c r="A87" s="1" t="s">
        <v>37</v>
      </c>
      <c r="B87" s="8">
        <v>60.0</v>
      </c>
      <c r="C87" s="2"/>
      <c r="D87" s="25"/>
    </row>
    <row r="88">
      <c r="A88" s="1" t="s">
        <v>36</v>
      </c>
      <c r="B88" s="8">
        <v>90.0</v>
      </c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8">
        <sortState ref="A2:D88">
          <sortCondition ref="D2:D88"/>
          <sortCondition ref="B2:B88"/>
        </sortState>
      </autoFilter>
    </customSheetView>
  </customSheetViews>
  <mergeCells count="2">
    <mergeCell ref="A1:B1"/>
    <mergeCell ref="E1:F1"/>
  </mergeCells>
  <conditionalFormatting sqref="D6:D101">
    <cfRule type="notContainsBlanks" dxfId="1" priority="1">
      <formula>LEN(TRIM(D6))&gt;0</formula>
    </cfRule>
  </conditionalFormatting>
  <dataValidations>
    <dataValidation type="list" allowBlank="1" sqref="A3:A101">
      <formula1>kategorie!$A$1:$A$50</formula1>
    </dataValidation>
    <dataValidation type="custom" allowBlank="1" showDropDown="1" sqref="D3:D99">
      <formula1>OR(NOT(ISERROR(DATEVALUE(D3))), AND(ISNUMBER(D3), LEFT(CELL("format", D3))="D"))</formula1>
    </dataValidation>
  </dataValidation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8847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47</v>
      </c>
      <c r="B3" s="30">
        <v>1600.0</v>
      </c>
      <c r="C3" s="8"/>
      <c r="D3" s="33"/>
      <c r="E3" s="1" t="s">
        <v>34</v>
      </c>
      <c r="F3" s="8">
        <v>22032.0</v>
      </c>
      <c r="H3" s="8">
        <f>Zbiorczy!D18</f>
        <v>77332.29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100</v>
      </c>
      <c r="N3" s="1" t="s">
        <v>36</v>
      </c>
    </row>
    <row r="4">
      <c r="A4" s="1" t="s">
        <v>201</v>
      </c>
      <c r="B4" s="8">
        <v>1460.0</v>
      </c>
      <c r="C4" s="8"/>
      <c r="D4" s="33"/>
      <c r="E4" s="1" t="s">
        <v>1359</v>
      </c>
      <c r="F4" s="8"/>
      <c r="J4" s="3">
        <f t="shared" si="1"/>
        <v>2433</v>
      </c>
      <c r="K4" s="1" t="s">
        <v>40</v>
      </c>
      <c r="M4" s="3">
        <f t="shared" si="2"/>
        <v>0</v>
      </c>
      <c r="N4" s="1" t="s">
        <v>41</v>
      </c>
    </row>
    <row r="5">
      <c r="A5" s="1" t="s">
        <v>51</v>
      </c>
      <c r="B5" s="8">
        <v>350.0</v>
      </c>
      <c r="C5" s="8"/>
      <c r="D5" s="35"/>
      <c r="J5" s="3">
        <f t="shared" si="1"/>
        <v>3854</v>
      </c>
      <c r="K5" s="1" t="s">
        <v>46</v>
      </c>
      <c r="M5" s="3">
        <f t="shared" si="2"/>
        <v>4260</v>
      </c>
      <c r="N5" s="1" t="s">
        <v>47</v>
      </c>
    </row>
    <row r="6">
      <c r="A6" s="1" t="s">
        <v>58</v>
      </c>
      <c r="B6" s="8">
        <v>234.0</v>
      </c>
      <c r="C6" s="8"/>
      <c r="D6" s="35"/>
      <c r="J6" s="3">
        <f t="shared" si="1"/>
        <v>290</v>
      </c>
      <c r="K6" s="1" t="s">
        <v>50</v>
      </c>
      <c r="M6" s="3">
        <f t="shared" si="2"/>
        <v>1564</v>
      </c>
      <c r="N6" s="1" t="s">
        <v>51</v>
      </c>
    </row>
    <row r="7">
      <c r="A7" s="1" t="s">
        <v>50</v>
      </c>
      <c r="B7" s="8">
        <v>290.0</v>
      </c>
      <c r="C7" s="40"/>
      <c r="D7" s="33"/>
      <c r="J7" s="3">
        <f t="shared" si="1"/>
        <v>810</v>
      </c>
      <c r="K7" s="1" t="s">
        <v>55</v>
      </c>
      <c r="M7" s="3">
        <f t="shared" si="2"/>
        <v>6325</v>
      </c>
      <c r="N7" s="1" t="s">
        <v>56</v>
      </c>
    </row>
    <row r="8">
      <c r="A8" s="1" t="s">
        <v>307</v>
      </c>
      <c r="B8" s="1">
        <v>60.0</v>
      </c>
      <c r="D8" s="33"/>
      <c r="M8" s="3">
        <f t="shared" si="2"/>
        <v>4260</v>
      </c>
      <c r="N8" s="1" t="s">
        <v>47</v>
      </c>
    </row>
    <row r="9">
      <c r="A9" s="1" t="s">
        <v>307</v>
      </c>
      <c r="B9" s="8">
        <v>40.0</v>
      </c>
      <c r="C9" s="8"/>
      <c r="D9" s="33"/>
    </row>
    <row r="10">
      <c r="A10" s="1" t="s">
        <v>56</v>
      </c>
      <c r="B10" s="8">
        <v>116.0</v>
      </c>
      <c r="C10" s="8" t="s">
        <v>1360</v>
      </c>
      <c r="D10" s="35"/>
    </row>
    <row r="11">
      <c r="A11" s="1" t="s">
        <v>36</v>
      </c>
      <c r="B11" s="8">
        <v>100.0</v>
      </c>
      <c r="C11" s="8"/>
      <c r="D11" s="35"/>
    </row>
    <row r="12">
      <c r="A12" s="1" t="s">
        <v>56</v>
      </c>
      <c r="B12" s="8">
        <v>4371.0</v>
      </c>
      <c r="C12" s="8" t="s">
        <v>1361</v>
      </c>
      <c r="D12" s="35"/>
    </row>
    <row r="13">
      <c r="A13" s="1" t="s">
        <v>56</v>
      </c>
      <c r="B13" s="8">
        <v>240.0</v>
      </c>
      <c r="C13" s="8" t="s">
        <v>1362</v>
      </c>
      <c r="D13" s="33"/>
    </row>
    <row r="14">
      <c r="A14" s="1" t="s">
        <v>56</v>
      </c>
      <c r="B14" s="8">
        <v>135.0</v>
      </c>
      <c r="C14" s="8" t="s">
        <v>1363</v>
      </c>
      <c r="D14" s="33"/>
    </row>
    <row r="15">
      <c r="A15" s="1" t="s">
        <v>58</v>
      </c>
      <c r="B15" s="8">
        <v>503.0</v>
      </c>
      <c r="C15" s="8" t="s">
        <v>782</v>
      </c>
      <c r="D15" s="33"/>
    </row>
    <row r="16">
      <c r="A16" s="1" t="s">
        <v>58</v>
      </c>
      <c r="B16" s="8">
        <v>73.0</v>
      </c>
      <c r="C16" s="8" t="s">
        <v>783</v>
      </c>
      <c r="D16" s="33"/>
    </row>
    <row r="17">
      <c r="A17" s="1" t="s">
        <v>56</v>
      </c>
      <c r="B17" s="8">
        <v>42.0</v>
      </c>
      <c r="C17" s="8"/>
      <c r="D17" s="33"/>
    </row>
    <row r="18">
      <c r="A18" s="1" t="s">
        <v>56</v>
      </c>
      <c r="B18" s="8">
        <v>177.0</v>
      </c>
      <c r="C18" s="8" t="s">
        <v>1364</v>
      </c>
      <c r="D18" s="25"/>
    </row>
    <row r="19">
      <c r="A19" s="1" t="s">
        <v>56</v>
      </c>
      <c r="B19" s="8">
        <v>160.0</v>
      </c>
      <c r="C19" s="8" t="s">
        <v>1365</v>
      </c>
      <c r="D19" s="33"/>
    </row>
    <row r="20">
      <c r="A20" s="1" t="s">
        <v>56</v>
      </c>
      <c r="B20" s="1">
        <v>134.0</v>
      </c>
      <c r="C20" s="8" t="s">
        <v>1366</v>
      </c>
      <c r="D20" s="33"/>
    </row>
    <row r="21">
      <c r="A21" s="1" t="s">
        <v>1172</v>
      </c>
      <c r="B21" s="30">
        <v>340.0</v>
      </c>
      <c r="C21" s="8" t="s">
        <v>1367</v>
      </c>
      <c r="D21" s="33"/>
    </row>
    <row r="22">
      <c r="A22" s="1" t="s">
        <v>51</v>
      </c>
      <c r="B22" s="8">
        <v>208.0</v>
      </c>
      <c r="C22" s="8"/>
      <c r="D22" s="33"/>
    </row>
    <row r="23">
      <c r="A23" s="1" t="s">
        <v>51</v>
      </c>
      <c r="B23" s="8">
        <v>280.0</v>
      </c>
      <c r="C23" s="8"/>
      <c r="D23" s="33"/>
    </row>
    <row r="24">
      <c r="A24" s="1" t="s">
        <v>51</v>
      </c>
      <c r="B24" s="41">
        <v>326.0</v>
      </c>
      <c r="C24" s="8"/>
      <c r="D24" s="33"/>
    </row>
    <row r="25">
      <c r="A25" s="1" t="s">
        <v>51</v>
      </c>
      <c r="B25" s="8">
        <v>204.0</v>
      </c>
      <c r="C25" s="8"/>
      <c r="D25" s="33"/>
    </row>
    <row r="26">
      <c r="A26" s="1" t="s">
        <v>51</v>
      </c>
      <c r="B26" s="8">
        <v>196.0</v>
      </c>
      <c r="C26" s="8"/>
      <c r="D26" s="33"/>
    </row>
    <row r="27">
      <c r="A27" s="1" t="s">
        <v>56</v>
      </c>
      <c r="B27" s="8">
        <v>950.0</v>
      </c>
      <c r="C27" s="8" t="s">
        <v>963</v>
      </c>
      <c r="D27" s="33"/>
    </row>
    <row r="28">
      <c r="A28" s="1" t="s">
        <v>47</v>
      </c>
      <c r="B28" s="8">
        <v>1550.0</v>
      </c>
      <c r="C28" s="8"/>
      <c r="D28" s="33"/>
    </row>
    <row r="29">
      <c r="A29" s="1" t="s">
        <v>47</v>
      </c>
      <c r="B29" s="8">
        <v>1110.0</v>
      </c>
      <c r="C29" s="8"/>
      <c r="D29" s="33"/>
    </row>
    <row r="30">
      <c r="A30" s="1" t="s">
        <v>40</v>
      </c>
      <c r="B30" s="8">
        <v>2433.0</v>
      </c>
      <c r="C30" s="8"/>
      <c r="D30" s="35"/>
    </row>
    <row r="31">
      <c r="A31" s="1" t="s">
        <v>46</v>
      </c>
      <c r="B31" s="8">
        <v>3854.0</v>
      </c>
      <c r="C31" s="8"/>
      <c r="D31" s="33"/>
    </row>
    <row r="32">
      <c r="A32" s="1" t="s">
        <v>55</v>
      </c>
      <c r="B32" s="8">
        <v>810.0</v>
      </c>
      <c r="C32" s="8"/>
      <c r="D32" s="33"/>
    </row>
    <row r="33">
      <c r="A33" s="3"/>
      <c r="B33" s="8"/>
      <c r="C33" s="8"/>
      <c r="D33" s="33"/>
    </row>
    <row r="34">
      <c r="A34" s="3"/>
      <c r="B34" s="8"/>
      <c r="C34" s="8"/>
      <c r="D34" s="33"/>
    </row>
    <row r="35">
      <c r="A35" s="3"/>
      <c r="B35" s="8"/>
      <c r="C35" s="8"/>
      <c r="D35" s="33"/>
    </row>
    <row r="36">
      <c r="A36" s="3"/>
      <c r="B36" s="41"/>
      <c r="C36" s="8"/>
      <c r="D36" s="33"/>
    </row>
    <row r="37">
      <c r="A37" s="3"/>
      <c r="B37" s="8"/>
      <c r="C37" s="8"/>
      <c r="D37" s="33"/>
    </row>
    <row r="38">
      <c r="A38" s="3"/>
      <c r="B38" s="8"/>
      <c r="C38" s="8"/>
      <c r="D38" s="33"/>
    </row>
    <row r="39">
      <c r="A39" s="3"/>
      <c r="B39" s="8"/>
      <c r="C39" s="8"/>
      <c r="D39" s="33"/>
    </row>
    <row r="40">
      <c r="A40" s="3"/>
      <c r="B40" s="8"/>
      <c r="C40" s="8"/>
      <c r="D40" s="33"/>
    </row>
    <row r="41">
      <c r="A41" s="3"/>
      <c r="B41" s="8"/>
      <c r="C41" s="8"/>
      <c r="D41" s="33"/>
    </row>
    <row r="42">
      <c r="A42" s="3"/>
      <c r="B42" s="8"/>
      <c r="C42" s="8"/>
      <c r="D42" s="33"/>
    </row>
    <row r="43">
      <c r="A43" s="3"/>
      <c r="B43" s="8"/>
      <c r="C43" s="8"/>
      <c r="D43" s="33"/>
    </row>
    <row r="44">
      <c r="A44" s="3"/>
      <c r="B44" s="8"/>
      <c r="C44" s="8"/>
      <c r="D44" s="33"/>
    </row>
    <row r="45">
      <c r="A45" s="3"/>
      <c r="B45" s="8"/>
      <c r="C45" s="8"/>
      <c r="D45" s="33"/>
    </row>
    <row r="46">
      <c r="A46" s="3"/>
      <c r="B46" s="8"/>
      <c r="C46" s="8"/>
      <c r="D46" s="33"/>
    </row>
    <row r="47">
      <c r="A47" s="3"/>
      <c r="B47" s="8"/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6352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36</v>
      </c>
      <c r="B3" s="30">
        <v>4076.0</v>
      </c>
      <c r="C3" s="8"/>
      <c r="D3" s="33"/>
      <c r="E3" s="1" t="s">
        <v>34</v>
      </c>
      <c r="F3" s="8">
        <v>16605.0</v>
      </c>
      <c r="H3" s="8">
        <f>Zbiorczy!D17</f>
        <v>75528.29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5420</v>
      </c>
      <c r="N3" s="1" t="s">
        <v>36</v>
      </c>
    </row>
    <row r="4">
      <c r="A4" s="1" t="s">
        <v>201</v>
      </c>
      <c r="B4" s="8">
        <v>1460.0</v>
      </c>
      <c r="C4" s="8"/>
      <c r="D4" s="33"/>
      <c r="E4" s="1" t="s">
        <v>1359</v>
      </c>
      <c r="F4" s="8">
        <v>1699.0</v>
      </c>
      <c r="J4" s="3">
        <f t="shared" si="1"/>
        <v>1352</v>
      </c>
      <c r="K4" s="1" t="s">
        <v>40</v>
      </c>
      <c r="M4" s="3">
        <f t="shared" si="2"/>
        <v>0</v>
      </c>
      <c r="N4" s="1" t="s">
        <v>41</v>
      </c>
    </row>
    <row r="5">
      <c r="A5" s="1" t="s">
        <v>56</v>
      </c>
      <c r="B5" s="8">
        <v>190.0</v>
      </c>
      <c r="C5" s="8" t="s">
        <v>1368</v>
      </c>
      <c r="D5" s="35"/>
      <c r="J5" s="3">
        <f t="shared" si="1"/>
        <v>2565</v>
      </c>
      <c r="K5" s="1" t="s">
        <v>46</v>
      </c>
      <c r="M5" s="3">
        <f t="shared" si="2"/>
        <v>943</v>
      </c>
      <c r="N5" s="1" t="s">
        <v>47</v>
      </c>
    </row>
    <row r="6">
      <c r="A6" s="1" t="s">
        <v>42</v>
      </c>
      <c r="B6" s="8">
        <v>145.0</v>
      </c>
      <c r="C6" s="8"/>
      <c r="D6" s="35"/>
      <c r="J6" s="3">
        <f t="shared" si="1"/>
        <v>0</v>
      </c>
      <c r="K6" s="1" t="s">
        <v>50</v>
      </c>
      <c r="M6" s="3">
        <f t="shared" si="2"/>
        <v>425</v>
      </c>
      <c r="N6" s="1" t="s">
        <v>51</v>
      </c>
    </row>
    <row r="7">
      <c r="A7" s="1" t="s">
        <v>37</v>
      </c>
      <c r="B7" s="8">
        <v>150.0</v>
      </c>
      <c r="C7" s="40"/>
      <c r="D7" s="33"/>
      <c r="J7" s="3">
        <f t="shared" si="1"/>
        <v>975</v>
      </c>
      <c r="K7" s="1" t="s">
        <v>55</v>
      </c>
      <c r="M7" s="3">
        <f t="shared" si="2"/>
        <v>576</v>
      </c>
      <c r="N7" s="1" t="s">
        <v>56</v>
      </c>
    </row>
    <row r="8">
      <c r="A8" s="1" t="s">
        <v>36</v>
      </c>
      <c r="B8" s="1">
        <v>50.0</v>
      </c>
      <c r="D8" s="33"/>
      <c r="M8" s="3">
        <f t="shared" si="2"/>
        <v>943</v>
      </c>
      <c r="N8" s="1" t="s">
        <v>47</v>
      </c>
    </row>
    <row r="9">
      <c r="A9" s="1" t="s">
        <v>842</v>
      </c>
      <c r="B9" s="8">
        <v>160.0</v>
      </c>
      <c r="C9" s="8"/>
      <c r="D9" s="33"/>
    </row>
    <row r="10">
      <c r="A10" s="1" t="s">
        <v>36</v>
      </c>
      <c r="B10" s="8">
        <v>50.0</v>
      </c>
      <c r="C10" s="8"/>
      <c r="D10" s="35"/>
    </row>
    <row r="11">
      <c r="A11" s="1" t="s">
        <v>47</v>
      </c>
      <c r="B11" s="8">
        <v>12.0</v>
      </c>
      <c r="C11" s="8"/>
      <c r="D11" s="35"/>
    </row>
    <row r="12">
      <c r="A12" s="1" t="s">
        <v>36</v>
      </c>
      <c r="B12" s="8">
        <v>132.0</v>
      </c>
      <c r="C12" s="8"/>
      <c r="D12" s="35"/>
    </row>
    <row r="13">
      <c r="A13" s="1" t="s">
        <v>36</v>
      </c>
      <c r="B13" s="8">
        <v>60.0</v>
      </c>
      <c r="C13" s="8"/>
      <c r="D13" s="33"/>
    </row>
    <row r="14">
      <c r="A14" s="1" t="s">
        <v>842</v>
      </c>
      <c r="B14" s="8">
        <v>100.0</v>
      </c>
      <c r="C14" s="8"/>
      <c r="D14" s="33"/>
    </row>
    <row r="15">
      <c r="A15" s="1" t="s">
        <v>73</v>
      </c>
      <c r="B15" s="8">
        <v>150.0</v>
      </c>
      <c r="C15" s="8"/>
      <c r="D15" s="33"/>
    </row>
    <row r="16">
      <c r="A16" s="1" t="s">
        <v>56</v>
      </c>
      <c r="B16" s="8">
        <v>20.0</v>
      </c>
      <c r="C16" s="8"/>
      <c r="D16" s="33"/>
    </row>
    <row r="17">
      <c r="A17" s="1" t="s">
        <v>36</v>
      </c>
      <c r="B17" s="8">
        <v>80.0</v>
      </c>
      <c r="C17" s="8"/>
      <c r="D17" s="33"/>
    </row>
    <row r="18">
      <c r="A18" s="1" t="s">
        <v>36</v>
      </c>
      <c r="B18" s="8">
        <v>160.0</v>
      </c>
      <c r="C18" s="8"/>
      <c r="D18" s="25"/>
    </row>
    <row r="19">
      <c r="A19" s="1" t="s">
        <v>58</v>
      </c>
      <c r="B19" s="8">
        <v>136.0</v>
      </c>
      <c r="C19" s="8" t="s">
        <v>1031</v>
      </c>
      <c r="D19" s="33"/>
    </row>
    <row r="20">
      <c r="A20" s="1" t="s">
        <v>46</v>
      </c>
      <c r="B20" s="1">
        <v>2565.0</v>
      </c>
      <c r="C20" s="8"/>
      <c r="D20" s="33"/>
    </row>
    <row r="21">
      <c r="A21" s="1" t="s">
        <v>40</v>
      </c>
      <c r="B21" s="30">
        <v>1352.0</v>
      </c>
      <c r="C21" s="8"/>
      <c r="D21" s="33"/>
    </row>
    <row r="22">
      <c r="A22" s="1" t="s">
        <v>55</v>
      </c>
      <c r="B22" s="8">
        <v>810.0</v>
      </c>
      <c r="C22" s="8" t="s">
        <v>1369</v>
      </c>
      <c r="D22" s="33"/>
    </row>
    <row r="23">
      <c r="A23" s="1" t="s">
        <v>55</v>
      </c>
      <c r="B23" s="8">
        <v>165.0</v>
      </c>
      <c r="C23" s="8" t="s">
        <v>1370</v>
      </c>
      <c r="D23" s="33"/>
    </row>
    <row r="24">
      <c r="A24" s="1" t="s">
        <v>56</v>
      </c>
      <c r="B24" s="41">
        <v>85.0</v>
      </c>
      <c r="C24" s="8" t="s">
        <v>1371</v>
      </c>
      <c r="D24" s="33"/>
    </row>
    <row r="25">
      <c r="A25" s="1" t="s">
        <v>56</v>
      </c>
      <c r="B25" s="8">
        <v>36.0</v>
      </c>
      <c r="C25" s="8" t="s">
        <v>1372</v>
      </c>
      <c r="D25" s="33"/>
    </row>
    <row r="26">
      <c r="A26" s="1" t="s">
        <v>56</v>
      </c>
      <c r="B26" s="8">
        <v>20.0</v>
      </c>
      <c r="C26" s="8" t="s">
        <v>987</v>
      </c>
      <c r="D26" s="33"/>
    </row>
    <row r="27">
      <c r="A27" s="1" t="s">
        <v>36</v>
      </c>
      <c r="B27" s="8">
        <v>60.0</v>
      </c>
      <c r="C27" s="8" t="s">
        <v>987</v>
      </c>
      <c r="D27" s="33"/>
    </row>
    <row r="28">
      <c r="A28" s="1" t="s">
        <v>36</v>
      </c>
      <c r="B28" s="8">
        <v>20.0</v>
      </c>
      <c r="C28" s="8"/>
      <c r="D28" s="33"/>
    </row>
    <row r="29">
      <c r="A29" s="1" t="s">
        <v>51</v>
      </c>
      <c r="B29" s="8">
        <v>167.0</v>
      </c>
      <c r="C29" s="8"/>
      <c r="D29" s="33"/>
    </row>
    <row r="30">
      <c r="A30" s="1" t="s">
        <v>51</v>
      </c>
      <c r="B30" s="8">
        <v>128.0</v>
      </c>
      <c r="C30" s="8"/>
      <c r="D30" s="35"/>
    </row>
    <row r="31">
      <c r="A31" s="1" t="s">
        <v>47</v>
      </c>
      <c r="B31" s="8">
        <v>131.0</v>
      </c>
      <c r="C31" s="8"/>
      <c r="D31" s="33"/>
    </row>
    <row r="32">
      <c r="A32" s="1" t="s">
        <v>51</v>
      </c>
      <c r="B32" s="8">
        <v>130.0</v>
      </c>
      <c r="C32" s="8"/>
      <c r="D32" s="33"/>
    </row>
    <row r="33">
      <c r="A33" s="1" t="s">
        <v>1172</v>
      </c>
      <c r="B33" s="8">
        <v>50.0</v>
      </c>
      <c r="C33" s="8"/>
      <c r="D33" s="33"/>
    </row>
    <row r="34">
      <c r="A34" s="1" t="s">
        <v>56</v>
      </c>
      <c r="B34" s="8">
        <v>135.0</v>
      </c>
      <c r="C34" s="8" t="s">
        <v>1373</v>
      </c>
      <c r="D34" s="33"/>
    </row>
    <row r="35">
      <c r="A35" s="1" t="s">
        <v>307</v>
      </c>
      <c r="B35" s="8">
        <v>84.0</v>
      </c>
      <c r="C35" s="8"/>
      <c r="D35" s="33"/>
    </row>
    <row r="36">
      <c r="A36" s="1" t="s">
        <v>842</v>
      </c>
      <c r="B36" s="41">
        <v>70.0</v>
      </c>
      <c r="C36" s="8"/>
      <c r="D36" s="33"/>
    </row>
    <row r="37">
      <c r="A37" s="1" t="s">
        <v>307</v>
      </c>
      <c r="B37" s="8">
        <v>89.0</v>
      </c>
      <c r="C37" s="8"/>
      <c r="D37" s="33"/>
    </row>
    <row r="38">
      <c r="A38" s="1" t="s">
        <v>73</v>
      </c>
      <c r="B38" s="8">
        <v>150.0</v>
      </c>
      <c r="C38" s="8"/>
      <c r="D38" s="33"/>
    </row>
    <row r="39">
      <c r="A39" s="1" t="s">
        <v>36</v>
      </c>
      <c r="B39" s="8">
        <v>582.0</v>
      </c>
      <c r="C39" s="8"/>
      <c r="D39" s="33"/>
    </row>
    <row r="40">
      <c r="A40" s="1" t="s">
        <v>58</v>
      </c>
      <c r="B40" s="8">
        <v>1277.0</v>
      </c>
      <c r="C40" s="8" t="s">
        <v>1374</v>
      </c>
      <c r="D40" s="33"/>
    </row>
    <row r="41">
      <c r="A41" s="1" t="s">
        <v>36</v>
      </c>
      <c r="B41" s="8">
        <v>40.0</v>
      </c>
      <c r="C41" s="8"/>
      <c r="D41" s="33"/>
    </row>
    <row r="42">
      <c r="A42" s="3"/>
      <c r="B42" s="8">
        <v>73.0</v>
      </c>
      <c r="C42" s="8"/>
      <c r="D42" s="33"/>
    </row>
    <row r="43">
      <c r="A43" s="1" t="s">
        <v>47</v>
      </c>
      <c r="B43" s="8">
        <v>800.0</v>
      </c>
      <c r="C43" s="8"/>
      <c r="D43" s="33"/>
    </row>
    <row r="44">
      <c r="A44" s="1" t="s">
        <v>56</v>
      </c>
      <c r="B44" s="8">
        <v>40.0</v>
      </c>
      <c r="C44" s="8"/>
      <c r="D44" s="33"/>
    </row>
    <row r="45">
      <c r="A45" s="1" t="s">
        <v>36</v>
      </c>
      <c r="B45" s="8">
        <v>110.0</v>
      </c>
      <c r="C45" s="8"/>
      <c r="D45" s="33"/>
    </row>
    <row r="46">
      <c r="A46" s="1" t="s">
        <v>73</v>
      </c>
      <c r="B46" s="8">
        <v>150.0</v>
      </c>
      <c r="C46" s="8"/>
      <c r="D46" s="33"/>
    </row>
    <row r="47">
      <c r="A47" s="1" t="s">
        <v>56</v>
      </c>
      <c r="B47" s="8">
        <v>50.0</v>
      </c>
      <c r="C47" s="8"/>
      <c r="D47" s="33"/>
    </row>
    <row r="48"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47 A49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7610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58</v>
      </c>
      <c r="B3" s="30">
        <v>590.0</v>
      </c>
      <c r="C3" s="8" t="s">
        <v>1375</v>
      </c>
      <c r="D3" s="33"/>
      <c r="E3" s="1" t="s">
        <v>34</v>
      </c>
      <c r="F3" s="8">
        <v>18020.0</v>
      </c>
      <c r="H3" s="8">
        <f>Zbiorczy!D16</f>
        <v>75446.29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997</v>
      </c>
      <c r="N3" s="1" t="s">
        <v>36</v>
      </c>
    </row>
    <row r="4">
      <c r="A4" s="1" t="s">
        <v>58</v>
      </c>
      <c r="B4" s="8">
        <v>300.0</v>
      </c>
      <c r="C4" s="8" t="s">
        <v>1376</v>
      </c>
      <c r="D4" s="33"/>
      <c r="E4" s="1" t="s">
        <v>1377</v>
      </c>
      <c r="F4" s="8">
        <v>1690.0</v>
      </c>
      <c r="J4" s="3">
        <f t="shared" si="1"/>
        <v>1925</v>
      </c>
      <c r="K4" s="1" t="s">
        <v>40</v>
      </c>
      <c r="M4" s="3">
        <f t="shared" si="2"/>
        <v>45</v>
      </c>
      <c r="N4" s="1" t="s">
        <v>41</v>
      </c>
    </row>
    <row r="5">
      <c r="A5" s="1" t="s">
        <v>73</v>
      </c>
      <c r="B5" s="8">
        <v>150.0</v>
      </c>
      <c r="C5" s="8"/>
      <c r="D5" s="35"/>
      <c r="J5" s="3">
        <f t="shared" si="1"/>
        <v>3105</v>
      </c>
      <c r="K5" s="1" t="s">
        <v>46</v>
      </c>
      <c r="M5" s="3">
        <f t="shared" si="2"/>
        <v>0</v>
      </c>
      <c r="N5" s="1" t="s">
        <v>47</v>
      </c>
    </row>
    <row r="6">
      <c r="A6" s="1" t="s">
        <v>36</v>
      </c>
      <c r="B6" s="8">
        <v>120.0</v>
      </c>
      <c r="C6" s="8"/>
      <c r="D6" s="35"/>
      <c r="J6" s="3">
        <f t="shared" si="1"/>
        <v>290</v>
      </c>
      <c r="K6" s="1" t="s">
        <v>50</v>
      </c>
      <c r="M6" s="3">
        <f t="shared" si="2"/>
        <v>1050</v>
      </c>
      <c r="N6" s="1" t="s">
        <v>51</v>
      </c>
    </row>
    <row r="7">
      <c r="A7" s="1" t="s">
        <v>58</v>
      </c>
      <c r="B7" s="8">
        <v>17.0</v>
      </c>
      <c r="C7" s="40"/>
      <c r="D7" s="33"/>
      <c r="J7" s="3">
        <f t="shared" si="1"/>
        <v>830</v>
      </c>
      <c r="K7" s="1" t="s">
        <v>55</v>
      </c>
      <c r="M7" s="3">
        <f t="shared" si="2"/>
        <v>6206</v>
      </c>
      <c r="N7" s="1" t="s">
        <v>56</v>
      </c>
    </row>
    <row r="8">
      <c r="A8" s="1" t="s">
        <v>56</v>
      </c>
      <c r="B8" s="1">
        <v>10.0</v>
      </c>
      <c r="D8" s="33"/>
      <c r="M8" s="3">
        <f t="shared" si="2"/>
        <v>0</v>
      </c>
      <c r="N8" s="1" t="s">
        <v>47</v>
      </c>
    </row>
    <row r="9">
      <c r="A9" s="1" t="s">
        <v>50</v>
      </c>
      <c r="B9" s="8">
        <v>290.0</v>
      </c>
      <c r="C9" s="8"/>
      <c r="D9" s="33"/>
    </row>
    <row r="10">
      <c r="A10" s="1" t="s">
        <v>56</v>
      </c>
      <c r="B10" s="8">
        <v>100.0</v>
      </c>
      <c r="C10" s="8"/>
      <c r="D10" s="35"/>
    </row>
    <row r="11">
      <c r="A11" s="1" t="s">
        <v>56</v>
      </c>
      <c r="B11" s="8">
        <v>557.0</v>
      </c>
      <c r="C11" s="8" t="s">
        <v>1378</v>
      </c>
      <c r="D11" s="35"/>
    </row>
    <row r="12">
      <c r="A12" s="1" t="s">
        <v>36</v>
      </c>
      <c r="B12" s="8">
        <v>120.0</v>
      </c>
      <c r="C12" s="8"/>
      <c r="D12" s="35"/>
    </row>
    <row r="13">
      <c r="A13" s="1" t="s">
        <v>307</v>
      </c>
      <c r="B13" s="8">
        <v>319.0</v>
      </c>
      <c r="C13" s="8" t="s">
        <v>1379</v>
      </c>
      <c r="D13" s="33"/>
    </row>
    <row r="14">
      <c r="A14" s="1" t="s">
        <v>201</v>
      </c>
      <c r="B14" s="8">
        <v>1460.0</v>
      </c>
      <c r="C14" s="8"/>
      <c r="D14" s="33"/>
    </row>
    <row r="15">
      <c r="A15" s="1" t="s">
        <v>51</v>
      </c>
      <c r="B15" s="8">
        <v>160.0</v>
      </c>
      <c r="C15" s="8"/>
      <c r="D15" s="33"/>
    </row>
    <row r="16">
      <c r="A16" s="1" t="s">
        <v>56</v>
      </c>
      <c r="B16" s="8">
        <v>160.0</v>
      </c>
      <c r="C16" s="8" t="s">
        <v>1132</v>
      </c>
      <c r="D16" s="33"/>
    </row>
    <row r="17">
      <c r="A17" s="1" t="s">
        <v>56</v>
      </c>
      <c r="B17" s="8">
        <v>70.0</v>
      </c>
      <c r="C17" s="8"/>
      <c r="D17" s="33"/>
    </row>
    <row r="18">
      <c r="A18" s="1" t="s">
        <v>36</v>
      </c>
      <c r="B18" s="8">
        <v>50.0</v>
      </c>
      <c r="C18" s="8"/>
      <c r="D18" s="25"/>
    </row>
    <row r="19">
      <c r="A19" s="1" t="s">
        <v>51</v>
      </c>
      <c r="B19" s="8">
        <v>60.0</v>
      </c>
      <c r="C19" s="8"/>
      <c r="D19" s="33"/>
    </row>
    <row r="20">
      <c r="A20" s="1" t="s">
        <v>56</v>
      </c>
      <c r="B20" s="8">
        <v>95.0</v>
      </c>
      <c r="C20" s="8"/>
      <c r="D20" s="33"/>
    </row>
    <row r="21">
      <c r="A21" s="1" t="s">
        <v>56</v>
      </c>
      <c r="B21" s="30">
        <v>103.0</v>
      </c>
      <c r="C21" s="8" t="s">
        <v>1380</v>
      </c>
      <c r="D21" s="33"/>
    </row>
    <row r="22">
      <c r="A22" s="1" t="s">
        <v>51</v>
      </c>
      <c r="B22" s="8">
        <v>200.0</v>
      </c>
      <c r="C22" s="8"/>
      <c r="D22" s="33"/>
    </row>
    <row r="23">
      <c r="A23" s="1" t="s">
        <v>842</v>
      </c>
      <c r="B23" s="8">
        <v>300.0</v>
      </c>
      <c r="C23" s="8" t="s">
        <v>1381</v>
      </c>
      <c r="D23" s="33"/>
    </row>
    <row r="24">
      <c r="A24" s="1" t="s">
        <v>36</v>
      </c>
      <c r="B24" s="41">
        <v>39.0</v>
      </c>
      <c r="C24" s="8"/>
      <c r="D24" s="33"/>
    </row>
    <row r="25">
      <c r="A25" s="1" t="s">
        <v>41</v>
      </c>
      <c r="B25" s="8">
        <v>45.0</v>
      </c>
      <c r="C25" s="8"/>
      <c r="D25" s="33"/>
    </row>
    <row r="26">
      <c r="A26" s="1" t="s">
        <v>56</v>
      </c>
      <c r="B26" s="8">
        <v>500.0</v>
      </c>
      <c r="C26" s="8" t="s">
        <v>1382</v>
      </c>
      <c r="D26" s="33"/>
    </row>
    <row r="27">
      <c r="A27" s="1" t="s">
        <v>73</v>
      </c>
      <c r="B27" s="8">
        <v>150.0</v>
      </c>
      <c r="C27" s="8" t="s">
        <v>1383</v>
      </c>
      <c r="D27" s="33"/>
    </row>
    <row r="28">
      <c r="A28" s="1" t="s">
        <v>307</v>
      </c>
      <c r="B28" s="8">
        <v>320.0</v>
      </c>
      <c r="C28" s="8" t="s">
        <v>1384</v>
      </c>
      <c r="D28" s="33"/>
    </row>
    <row r="29">
      <c r="A29" s="1" t="s">
        <v>307</v>
      </c>
      <c r="B29" s="8">
        <v>1100.0</v>
      </c>
      <c r="C29" s="8" t="s">
        <v>1385</v>
      </c>
      <c r="D29" s="33"/>
    </row>
    <row r="30">
      <c r="A30" s="1" t="s">
        <v>36</v>
      </c>
      <c r="B30" s="8">
        <v>90.0</v>
      </c>
      <c r="C30" s="8"/>
      <c r="D30" s="35"/>
    </row>
    <row r="31">
      <c r="A31" s="1" t="s">
        <v>51</v>
      </c>
      <c r="B31" s="8">
        <v>200.0</v>
      </c>
      <c r="C31" s="8"/>
      <c r="D31" s="33"/>
    </row>
    <row r="32">
      <c r="A32" s="1" t="s">
        <v>46</v>
      </c>
      <c r="B32" s="8">
        <v>3105.0</v>
      </c>
      <c r="C32" s="8"/>
      <c r="D32" s="33"/>
    </row>
    <row r="33">
      <c r="A33" s="1" t="s">
        <v>40</v>
      </c>
      <c r="B33" s="8">
        <v>1925.0</v>
      </c>
      <c r="C33" s="8"/>
      <c r="D33" s="33"/>
    </row>
    <row r="34">
      <c r="A34" s="1" t="s">
        <v>56</v>
      </c>
      <c r="B34" s="8">
        <v>1217.0</v>
      </c>
      <c r="C34" s="8" t="s">
        <v>1386</v>
      </c>
      <c r="D34" s="33"/>
    </row>
    <row r="35">
      <c r="A35" s="1" t="s">
        <v>36</v>
      </c>
      <c r="B35" s="8">
        <v>78.0</v>
      </c>
      <c r="C35" s="8"/>
      <c r="D35" s="33"/>
    </row>
    <row r="36">
      <c r="A36" s="1" t="s">
        <v>73</v>
      </c>
      <c r="B36" s="41">
        <v>150.0</v>
      </c>
      <c r="C36" s="8"/>
      <c r="D36" s="33"/>
    </row>
    <row r="37">
      <c r="A37" s="1" t="s">
        <v>51</v>
      </c>
      <c r="B37" s="8">
        <v>240.0</v>
      </c>
      <c r="C37" s="8"/>
      <c r="D37" s="33"/>
    </row>
    <row r="38">
      <c r="A38" s="1" t="s">
        <v>56</v>
      </c>
      <c r="B38" s="8">
        <v>1700.0</v>
      </c>
      <c r="C38" s="8" t="s">
        <v>1387</v>
      </c>
      <c r="D38" s="33"/>
    </row>
    <row r="39">
      <c r="A39" s="1" t="s">
        <v>55</v>
      </c>
      <c r="B39" s="8">
        <v>830.0</v>
      </c>
      <c r="C39" s="8" t="s">
        <v>1369</v>
      </c>
      <c r="D39" s="33"/>
    </row>
    <row r="40">
      <c r="A40" s="1" t="s">
        <v>36</v>
      </c>
      <c r="B40" s="8">
        <v>130.0</v>
      </c>
      <c r="C40" s="8"/>
      <c r="D40" s="33"/>
    </row>
    <row r="41">
      <c r="A41" s="1" t="s">
        <v>36</v>
      </c>
      <c r="B41" s="8">
        <v>20.0</v>
      </c>
      <c r="C41" s="8"/>
      <c r="D41" s="33"/>
    </row>
    <row r="42">
      <c r="A42" s="1" t="s">
        <v>56</v>
      </c>
      <c r="B42" s="8">
        <v>304.0</v>
      </c>
      <c r="C42" s="8" t="s">
        <v>1388</v>
      </c>
      <c r="D42" s="33"/>
    </row>
    <row r="43">
      <c r="A43" s="1" t="s">
        <v>307</v>
      </c>
      <c r="B43" s="8">
        <v>304.0</v>
      </c>
      <c r="C43" s="8" t="s">
        <v>307</v>
      </c>
      <c r="D43" s="33"/>
    </row>
    <row r="44">
      <c r="A44" s="1" t="s">
        <v>56</v>
      </c>
      <c r="B44" s="8">
        <v>150.0</v>
      </c>
      <c r="C44" s="8" t="s">
        <v>1365</v>
      </c>
      <c r="D44" s="33"/>
    </row>
    <row r="45">
      <c r="A45" s="1" t="s">
        <v>56</v>
      </c>
      <c r="B45" s="8">
        <v>240.0</v>
      </c>
      <c r="C45" s="8" t="s">
        <v>890</v>
      </c>
      <c r="D45" s="33"/>
    </row>
    <row r="46">
      <c r="A46" s="1" t="s">
        <v>36</v>
      </c>
      <c r="B46" s="8">
        <v>200.0</v>
      </c>
      <c r="C46" s="8"/>
      <c r="D46" s="33"/>
    </row>
    <row r="47">
      <c r="A47" s="1" t="s">
        <v>36</v>
      </c>
      <c r="B47" s="8">
        <v>150.0</v>
      </c>
      <c r="C47" s="8"/>
      <c r="D47" s="33"/>
    </row>
    <row r="48">
      <c r="A48" s="1" t="s">
        <v>56</v>
      </c>
      <c r="B48" s="8">
        <v>1000.0</v>
      </c>
      <c r="C48" s="8" t="s">
        <v>823</v>
      </c>
      <c r="D48" s="33"/>
    </row>
    <row r="49">
      <c r="A49" s="1" t="s">
        <v>37</v>
      </c>
      <c r="B49" s="8">
        <v>20.0</v>
      </c>
      <c r="C49" s="8" t="s">
        <v>853</v>
      </c>
      <c r="D49" s="33"/>
    </row>
    <row r="50">
      <c r="A50" s="1" t="s">
        <v>51</v>
      </c>
      <c r="B50" s="8">
        <v>190.0</v>
      </c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7383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201</v>
      </c>
      <c r="B3" s="30">
        <v>1460.0</v>
      </c>
      <c r="C3" s="8"/>
      <c r="D3" s="33"/>
      <c r="E3" s="1" t="s">
        <v>34</v>
      </c>
      <c r="F3" s="8">
        <v>17527.0</v>
      </c>
      <c r="H3" s="8">
        <f>Zbiorczy!D15</f>
        <v>73974.29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329</v>
      </c>
      <c r="N3" s="1" t="s">
        <v>36</v>
      </c>
    </row>
    <row r="4">
      <c r="A4" s="1" t="s">
        <v>58</v>
      </c>
      <c r="B4" s="8">
        <v>233.0</v>
      </c>
      <c r="C4" s="8"/>
      <c r="D4" s="33"/>
      <c r="F4" s="8"/>
      <c r="J4" s="3">
        <f t="shared" si="1"/>
        <v>1859</v>
      </c>
      <c r="K4" s="1" t="s">
        <v>40</v>
      </c>
      <c r="M4" s="3">
        <f t="shared" si="2"/>
        <v>0</v>
      </c>
      <c r="N4" s="1" t="s">
        <v>41</v>
      </c>
    </row>
    <row r="5">
      <c r="A5" s="1" t="s">
        <v>56</v>
      </c>
      <c r="B5" s="8">
        <v>5000.0</v>
      </c>
      <c r="C5" s="8" t="s">
        <v>1197</v>
      </c>
      <c r="D5" s="35"/>
      <c r="J5" s="3">
        <f t="shared" si="1"/>
        <v>3100</v>
      </c>
      <c r="K5" s="1" t="s">
        <v>46</v>
      </c>
      <c r="M5" s="3">
        <f t="shared" si="2"/>
        <v>12</v>
      </c>
      <c r="N5" s="1" t="s">
        <v>47</v>
      </c>
    </row>
    <row r="6">
      <c r="A6" s="1" t="s">
        <v>36</v>
      </c>
      <c r="B6" s="8">
        <v>26.0</v>
      </c>
      <c r="C6" s="8"/>
      <c r="D6" s="35"/>
      <c r="J6" s="3">
        <f t="shared" si="1"/>
        <v>0</v>
      </c>
      <c r="K6" s="1" t="s">
        <v>50</v>
      </c>
      <c r="M6" s="3">
        <f t="shared" si="2"/>
        <v>0</v>
      </c>
      <c r="N6" s="1" t="s">
        <v>51</v>
      </c>
    </row>
    <row r="7">
      <c r="A7" s="1" t="s">
        <v>36</v>
      </c>
      <c r="B7" s="8">
        <v>37.0</v>
      </c>
      <c r="C7" s="40"/>
      <c r="D7" s="33"/>
      <c r="J7" s="3">
        <f t="shared" si="1"/>
        <v>964</v>
      </c>
      <c r="K7" s="1" t="s">
        <v>55</v>
      </c>
      <c r="M7" s="3">
        <f t="shared" si="2"/>
        <v>6917</v>
      </c>
      <c r="N7" s="1" t="s">
        <v>56</v>
      </c>
    </row>
    <row r="8">
      <c r="A8" s="1" t="s">
        <v>37</v>
      </c>
      <c r="B8" s="1">
        <v>200.0</v>
      </c>
      <c r="D8" s="33"/>
      <c r="M8" s="3">
        <f t="shared" si="2"/>
        <v>12</v>
      </c>
      <c r="N8" s="1" t="s">
        <v>47</v>
      </c>
    </row>
    <row r="9">
      <c r="A9" s="1" t="s">
        <v>56</v>
      </c>
      <c r="B9" s="8">
        <v>100.0</v>
      </c>
      <c r="C9" s="8" t="s">
        <v>842</v>
      </c>
      <c r="D9" s="33"/>
    </row>
    <row r="10">
      <c r="A10" s="1" t="s">
        <v>36</v>
      </c>
      <c r="B10" s="8">
        <v>51.0</v>
      </c>
      <c r="C10" s="8"/>
      <c r="D10" s="35"/>
    </row>
    <row r="11">
      <c r="A11" s="1" t="s">
        <v>47</v>
      </c>
      <c r="B11" s="8">
        <v>12.0</v>
      </c>
      <c r="C11" s="8"/>
      <c r="D11" s="35"/>
    </row>
    <row r="12">
      <c r="A12" s="1" t="s">
        <v>36</v>
      </c>
      <c r="B12" s="8">
        <v>26.0</v>
      </c>
      <c r="C12" s="8"/>
      <c r="D12" s="35"/>
    </row>
    <row r="13">
      <c r="A13" s="1" t="s">
        <v>36</v>
      </c>
      <c r="B13" s="8">
        <v>16.0</v>
      </c>
      <c r="C13" s="8"/>
      <c r="D13" s="33"/>
    </row>
    <row r="14">
      <c r="A14" s="1" t="s">
        <v>42</v>
      </c>
      <c r="B14" s="8">
        <v>144.0</v>
      </c>
      <c r="C14" s="8"/>
      <c r="D14" s="33"/>
    </row>
    <row r="15">
      <c r="A15" s="1" t="s">
        <v>46</v>
      </c>
      <c r="B15" s="8">
        <v>3100.0</v>
      </c>
      <c r="C15" s="8"/>
      <c r="D15" s="33"/>
    </row>
    <row r="16">
      <c r="A16" s="1" t="s">
        <v>40</v>
      </c>
      <c r="B16" s="8">
        <v>1859.0</v>
      </c>
      <c r="C16" s="8"/>
      <c r="D16" s="33"/>
    </row>
    <row r="17">
      <c r="A17" s="1" t="s">
        <v>36</v>
      </c>
      <c r="B17" s="8">
        <v>30.0</v>
      </c>
      <c r="C17" s="8"/>
      <c r="D17" s="33"/>
    </row>
    <row r="18">
      <c r="A18" s="1" t="s">
        <v>36</v>
      </c>
      <c r="B18" s="8">
        <v>14.0</v>
      </c>
      <c r="C18" s="8"/>
      <c r="D18" s="25"/>
    </row>
    <row r="19">
      <c r="A19" s="1" t="s">
        <v>36</v>
      </c>
      <c r="B19" s="8">
        <v>27.0</v>
      </c>
      <c r="C19" s="8"/>
      <c r="D19" s="33"/>
    </row>
    <row r="20">
      <c r="A20" s="1" t="s">
        <v>56</v>
      </c>
      <c r="B20" s="8">
        <v>240.0</v>
      </c>
      <c r="C20" s="8" t="s">
        <v>1389</v>
      </c>
      <c r="D20" s="33"/>
    </row>
    <row r="21">
      <c r="A21" s="1" t="s">
        <v>56</v>
      </c>
      <c r="B21" s="8">
        <v>207.0</v>
      </c>
      <c r="C21" s="8" t="s">
        <v>842</v>
      </c>
      <c r="D21" s="33"/>
    </row>
    <row r="22">
      <c r="A22" s="1" t="s">
        <v>55</v>
      </c>
      <c r="B22" s="8">
        <v>800.0</v>
      </c>
      <c r="C22" s="8" t="s">
        <v>1390</v>
      </c>
      <c r="D22" s="33"/>
    </row>
    <row r="23">
      <c r="A23" s="1" t="s">
        <v>55</v>
      </c>
      <c r="B23" s="8">
        <v>164.0</v>
      </c>
      <c r="C23" s="8" t="s">
        <v>1391</v>
      </c>
      <c r="D23" s="33"/>
    </row>
    <row r="24">
      <c r="A24" s="1" t="s">
        <v>56</v>
      </c>
      <c r="B24" s="8">
        <v>500.0</v>
      </c>
      <c r="C24" s="8" t="s">
        <v>788</v>
      </c>
      <c r="D24" s="33"/>
    </row>
    <row r="25">
      <c r="A25" s="1" t="s">
        <v>56</v>
      </c>
      <c r="B25" s="8">
        <v>400.0</v>
      </c>
      <c r="C25" s="8" t="s">
        <v>1392</v>
      </c>
      <c r="D25" s="33"/>
    </row>
    <row r="26">
      <c r="A26" s="1" t="s">
        <v>73</v>
      </c>
      <c r="B26" s="8">
        <v>150.0</v>
      </c>
      <c r="C26" s="8" t="s">
        <v>857</v>
      </c>
      <c r="D26" s="33"/>
    </row>
    <row r="27">
      <c r="A27" s="1" t="s">
        <v>36</v>
      </c>
      <c r="B27" s="30">
        <v>65.0</v>
      </c>
      <c r="C27" s="8"/>
      <c r="D27" s="33"/>
    </row>
    <row r="28">
      <c r="A28" s="1" t="s">
        <v>58</v>
      </c>
      <c r="B28" s="8">
        <v>55.0</v>
      </c>
      <c r="C28" s="8" t="s">
        <v>1393</v>
      </c>
      <c r="D28" s="33"/>
    </row>
    <row r="29">
      <c r="A29" s="1" t="s">
        <v>56</v>
      </c>
      <c r="B29" s="8">
        <v>470.0</v>
      </c>
      <c r="C29" s="8" t="s">
        <v>1331</v>
      </c>
      <c r="D29" s="33"/>
    </row>
    <row r="30">
      <c r="A30" s="1" t="s">
        <v>772</v>
      </c>
      <c r="B30" s="8">
        <v>20.0</v>
      </c>
      <c r="C30" s="8"/>
      <c r="D30" s="35"/>
    </row>
    <row r="31">
      <c r="A31" s="1" t="s">
        <v>36</v>
      </c>
      <c r="B31" s="8">
        <v>37.0</v>
      </c>
      <c r="C31" s="8"/>
      <c r="D31" s="33"/>
    </row>
    <row r="32">
      <c r="A32" s="1" t="s">
        <v>842</v>
      </c>
      <c r="B32" s="8">
        <v>612.0</v>
      </c>
      <c r="C32" s="8"/>
      <c r="D32" s="33"/>
    </row>
    <row r="33">
      <c r="D33" s="33"/>
    </row>
    <row r="34">
      <c r="D34" s="33"/>
    </row>
    <row r="35">
      <c r="D35" s="33"/>
    </row>
    <row r="36">
      <c r="D36" s="33"/>
    </row>
    <row r="37">
      <c r="D37" s="33"/>
    </row>
    <row r="38">
      <c r="D38" s="33"/>
    </row>
    <row r="39">
      <c r="D39" s="33"/>
    </row>
    <row r="40">
      <c r="D40" s="33"/>
    </row>
    <row r="41">
      <c r="D41" s="33"/>
    </row>
    <row r="42">
      <c r="D42" s="33"/>
    </row>
    <row r="43">
      <c r="D43" s="33"/>
    </row>
    <row r="44">
      <c r="D44" s="33"/>
    </row>
    <row r="45">
      <c r="D45" s="33"/>
    </row>
    <row r="46">
      <c r="A46" s="3"/>
      <c r="B46" s="8"/>
      <c r="C46" s="8"/>
      <c r="D46" s="33"/>
    </row>
    <row r="47">
      <c r="A47" s="3"/>
      <c r="B47" s="8"/>
      <c r="C47" s="8"/>
      <c r="D47" s="33"/>
    </row>
    <row r="48">
      <c r="A48" s="3"/>
      <c r="B48" s="8"/>
      <c r="C48" s="8"/>
      <c r="D48" s="33"/>
    </row>
    <row r="49">
      <c r="A49" s="3"/>
      <c r="B49" s="8"/>
      <c r="C49" s="8"/>
      <c r="D49" s="33"/>
    </row>
    <row r="50">
      <c r="A50" s="3"/>
      <c r="B50" s="8"/>
      <c r="C50" s="8"/>
      <c r="D50" s="33"/>
    </row>
    <row r="51">
      <c r="A51" s="3"/>
      <c r="B51" s="8"/>
      <c r="C51" s="8"/>
      <c r="D51" s="33"/>
    </row>
    <row r="52">
      <c r="A52" s="3"/>
      <c r="B52" s="8"/>
      <c r="C52" s="8"/>
      <c r="D52" s="33"/>
    </row>
    <row r="53">
      <c r="A53" s="3"/>
      <c r="B53" s="8"/>
      <c r="C53" s="8"/>
      <c r="D53" s="33"/>
    </row>
    <row r="54">
      <c r="A54" s="3"/>
      <c r="B54" s="8"/>
      <c r="C54" s="8"/>
      <c r="D54" s="33"/>
    </row>
    <row r="55">
      <c r="A55" s="3"/>
      <c r="B55" s="8"/>
      <c r="C55" s="8"/>
      <c r="D55" s="33"/>
    </row>
    <row r="56">
      <c r="A56" s="3"/>
      <c r="B56" s="8"/>
      <c r="C56" s="8"/>
      <c r="D56" s="33"/>
    </row>
    <row r="57">
      <c r="A57" s="3"/>
      <c r="B57" s="8"/>
      <c r="C57" s="8"/>
      <c r="D57" s="33"/>
    </row>
    <row r="58">
      <c r="A58" s="3"/>
      <c r="B58" s="8"/>
      <c r="C58" s="8"/>
      <c r="D58" s="33"/>
    </row>
    <row r="59">
      <c r="A59" s="3"/>
      <c r="B59" s="8"/>
      <c r="C59" s="8"/>
      <c r="D59" s="33"/>
    </row>
    <row r="60">
      <c r="A60" s="3"/>
      <c r="B60" s="8"/>
      <c r="C60" s="8"/>
      <c r="D60" s="33"/>
    </row>
    <row r="61">
      <c r="A61" s="3"/>
      <c r="B61" s="8"/>
      <c r="C61" s="8"/>
      <c r="D61" s="33"/>
    </row>
    <row r="62">
      <c r="A62" s="3"/>
      <c r="B62" s="8"/>
      <c r="C62" s="8"/>
      <c r="D62" s="33"/>
    </row>
    <row r="63">
      <c r="A63" s="3"/>
      <c r="B63" s="8"/>
      <c r="C63" s="8"/>
      <c r="D63" s="33"/>
    </row>
    <row r="64">
      <c r="A64" s="3"/>
      <c r="B64" s="8"/>
      <c r="C64" s="8"/>
      <c r="D64" s="33"/>
    </row>
    <row r="65">
      <c r="A65" s="3"/>
      <c r="B65" s="8"/>
      <c r="C65" s="8"/>
      <c r="D65" s="33"/>
    </row>
    <row r="66">
      <c r="A66" s="3"/>
      <c r="B66" s="8"/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32 A46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8238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30">
        <v>600.0</v>
      </c>
      <c r="C3" s="8" t="s">
        <v>1394</v>
      </c>
      <c r="D3" s="33"/>
      <c r="E3" s="1" t="s">
        <v>34</v>
      </c>
      <c r="F3" s="8">
        <v>19750.0</v>
      </c>
      <c r="H3" s="8">
        <f>Zbiorczy!D14</f>
        <v>71285.29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932</v>
      </c>
      <c r="N3" s="1" t="s">
        <v>36</v>
      </c>
    </row>
    <row r="4">
      <c r="A4" s="1" t="s">
        <v>56</v>
      </c>
      <c r="B4" s="8">
        <v>1450.0</v>
      </c>
      <c r="C4" s="8" t="s">
        <v>1395</v>
      </c>
      <c r="D4" s="33"/>
      <c r="F4" s="8"/>
      <c r="J4" s="3">
        <f t="shared" si="1"/>
        <v>2126</v>
      </c>
      <c r="K4" s="1" t="s">
        <v>40</v>
      </c>
      <c r="M4" s="3">
        <f t="shared" si="2"/>
        <v>56</v>
      </c>
      <c r="N4" s="1" t="s">
        <v>41</v>
      </c>
    </row>
    <row r="5">
      <c r="A5" s="1" t="s">
        <v>42</v>
      </c>
      <c r="B5" s="8">
        <v>128.0</v>
      </c>
      <c r="C5" s="8" t="s">
        <v>42</v>
      </c>
      <c r="D5" s="35"/>
      <c r="J5" s="3">
        <f t="shared" si="1"/>
        <v>3435</v>
      </c>
      <c r="K5" s="1" t="s">
        <v>46</v>
      </c>
      <c r="M5" s="3">
        <f t="shared" si="2"/>
        <v>1229</v>
      </c>
      <c r="N5" s="1" t="s">
        <v>47</v>
      </c>
    </row>
    <row r="6">
      <c r="A6" s="1" t="s">
        <v>201</v>
      </c>
      <c r="B6" s="8">
        <v>1460.0</v>
      </c>
      <c r="C6" s="8"/>
      <c r="D6" s="35"/>
      <c r="J6" s="3">
        <f t="shared" si="1"/>
        <v>70</v>
      </c>
      <c r="K6" s="1" t="s">
        <v>50</v>
      </c>
      <c r="M6" s="3">
        <f t="shared" si="2"/>
        <v>561</v>
      </c>
      <c r="N6" s="1" t="s">
        <v>51</v>
      </c>
    </row>
    <row r="7">
      <c r="A7" s="1" t="s">
        <v>56</v>
      </c>
      <c r="B7" s="8">
        <v>100.0</v>
      </c>
      <c r="C7" s="40"/>
      <c r="D7" s="33"/>
      <c r="J7" s="3">
        <f t="shared" si="1"/>
        <v>1147</v>
      </c>
      <c r="K7" s="1" t="s">
        <v>55</v>
      </c>
      <c r="M7" s="3">
        <f t="shared" si="2"/>
        <v>5040</v>
      </c>
      <c r="N7" s="1" t="s">
        <v>56</v>
      </c>
    </row>
    <row r="8">
      <c r="A8" s="1" t="s">
        <v>56</v>
      </c>
      <c r="B8" s="1">
        <v>1480.0</v>
      </c>
      <c r="C8" s="1" t="s">
        <v>1396</v>
      </c>
      <c r="D8" s="33"/>
      <c r="M8" s="3">
        <f t="shared" si="2"/>
        <v>1229</v>
      </c>
      <c r="N8" s="1" t="s">
        <v>47</v>
      </c>
    </row>
    <row r="9">
      <c r="A9" s="1" t="s">
        <v>56</v>
      </c>
      <c r="B9" s="8">
        <v>80.0</v>
      </c>
      <c r="C9" s="8" t="s">
        <v>1397</v>
      </c>
      <c r="D9" s="33"/>
    </row>
    <row r="10">
      <c r="A10" s="1" t="s">
        <v>36</v>
      </c>
      <c r="B10" s="8">
        <v>16.0</v>
      </c>
      <c r="C10" s="8"/>
      <c r="D10" s="35"/>
    </row>
    <row r="11">
      <c r="A11" s="1" t="s">
        <v>36</v>
      </c>
      <c r="B11" s="8">
        <v>17.0</v>
      </c>
      <c r="C11" s="8"/>
      <c r="D11" s="35"/>
    </row>
    <row r="12">
      <c r="A12" s="1" t="s">
        <v>41</v>
      </c>
      <c r="B12" s="8">
        <v>32.0</v>
      </c>
      <c r="C12" s="8"/>
      <c r="D12" s="35"/>
    </row>
    <row r="13">
      <c r="A13" s="1" t="s">
        <v>36</v>
      </c>
      <c r="B13" s="8">
        <v>37.0</v>
      </c>
      <c r="C13" s="8"/>
      <c r="D13" s="33"/>
    </row>
    <row r="14">
      <c r="A14" s="1" t="s">
        <v>36</v>
      </c>
      <c r="B14" s="8">
        <v>14.0</v>
      </c>
      <c r="C14" s="8"/>
      <c r="D14" s="33"/>
    </row>
    <row r="15">
      <c r="A15" s="1" t="s">
        <v>36</v>
      </c>
      <c r="B15" s="8">
        <v>26.0</v>
      </c>
      <c r="C15" s="8"/>
      <c r="D15" s="33"/>
    </row>
    <row r="16">
      <c r="A16" s="1" t="s">
        <v>36</v>
      </c>
      <c r="B16" s="8">
        <v>10.0</v>
      </c>
      <c r="C16" s="8"/>
      <c r="D16" s="33"/>
    </row>
    <row r="17">
      <c r="A17" s="1" t="s">
        <v>56</v>
      </c>
      <c r="B17" s="8">
        <v>200.0</v>
      </c>
      <c r="C17" s="8"/>
      <c r="D17" s="33"/>
    </row>
    <row r="18">
      <c r="A18" s="1" t="s">
        <v>47</v>
      </c>
      <c r="B18" s="8">
        <v>70.0</v>
      </c>
      <c r="C18" s="8"/>
      <c r="D18" s="25"/>
    </row>
    <row r="19">
      <c r="A19" s="1" t="s">
        <v>36</v>
      </c>
      <c r="B19" s="8">
        <v>100.0</v>
      </c>
      <c r="C19" s="8"/>
      <c r="D19" s="33"/>
    </row>
    <row r="20">
      <c r="A20" s="1" t="s">
        <v>56</v>
      </c>
      <c r="B20" s="8">
        <v>25.0</v>
      </c>
      <c r="C20" s="8"/>
      <c r="D20" s="33"/>
    </row>
    <row r="21">
      <c r="A21" s="1" t="s">
        <v>50</v>
      </c>
      <c r="B21" s="8">
        <v>70.0</v>
      </c>
      <c r="C21" s="8"/>
      <c r="D21" s="33"/>
    </row>
    <row r="22">
      <c r="A22" s="1" t="s">
        <v>36</v>
      </c>
      <c r="B22" s="8">
        <v>17.0</v>
      </c>
      <c r="C22" s="8"/>
      <c r="D22" s="33"/>
    </row>
    <row r="23">
      <c r="A23" s="1" t="s">
        <v>36</v>
      </c>
      <c r="B23" s="8">
        <v>53.0</v>
      </c>
      <c r="C23" s="8"/>
      <c r="D23" s="33"/>
    </row>
    <row r="24">
      <c r="A24" s="1" t="s">
        <v>56</v>
      </c>
      <c r="B24" s="8">
        <v>10.0</v>
      </c>
      <c r="C24" s="8"/>
      <c r="D24" s="33"/>
    </row>
    <row r="25">
      <c r="A25" s="1" t="s">
        <v>51</v>
      </c>
      <c r="B25" s="8">
        <v>190.0</v>
      </c>
      <c r="C25" s="8"/>
      <c r="D25" s="33"/>
    </row>
    <row r="26">
      <c r="A26" s="1" t="s">
        <v>51</v>
      </c>
      <c r="B26" s="8">
        <v>65.0</v>
      </c>
      <c r="C26" s="8"/>
      <c r="D26" s="33"/>
    </row>
    <row r="27">
      <c r="A27" s="1" t="s">
        <v>307</v>
      </c>
      <c r="B27" s="30">
        <v>190.0</v>
      </c>
      <c r="C27" s="8"/>
      <c r="D27" s="33"/>
    </row>
    <row r="28">
      <c r="A28" s="1" t="s">
        <v>36</v>
      </c>
      <c r="B28" s="8">
        <v>9.0</v>
      </c>
      <c r="C28" s="8"/>
      <c r="D28" s="33"/>
    </row>
    <row r="29">
      <c r="A29" s="1" t="s">
        <v>56</v>
      </c>
      <c r="B29" s="8">
        <v>45.0</v>
      </c>
      <c r="C29" s="8"/>
      <c r="D29" s="33"/>
    </row>
    <row r="30">
      <c r="A30" s="1" t="s">
        <v>307</v>
      </c>
      <c r="B30" s="8">
        <v>170.0</v>
      </c>
      <c r="C30" s="8"/>
      <c r="D30" s="35"/>
    </row>
    <row r="31">
      <c r="A31" s="1" t="s">
        <v>36</v>
      </c>
      <c r="B31" s="8">
        <v>90.0</v>
      </c>
      <c r="C31" s="8"/>
      <c r="D31" s="33"/>
    </row>
    <row r="32">
      <c r="A32" s="1" t="s">
        <v>40</v>
      </c>
      <c r="B32" s="8">
        <v>2126.0</v>
      </c>
      <c r="C32" s="8"/>
      <c r="D32" s="33"/>
    </row>
    <row r="33">
      <c r="A33" s="1" t="s">
        <v>46</v>
      </c>
      <c r="B33" s="30">
        <v>3435.0</v>
      </c>
      <c r="C33" s="8"/>
      <c r="D33" s="33"/>
    </row>
    <row r="34">
      <c r="A34" s="1" t="s">
        <v>56</v>
      </c>
      <c r="B34" s="8">
        <v>40.0</v>
      </c>
      <c r="C34" s="8"/>
      <c r="D34" s="33"/>
    </row>
    <row r="35">
      <c r="A35" s="1" t="s">
        <v>36</v>
      </c>
      <c r="B35" s="8">
        <v>50.0</v>
      </c>
      <c r="C35" s="8"/>
      <c r="D35" s="33"/>
    </row>
    <row r="36">
      <c r="A36" s="1" t="s">
        <v>36</v>
      </c>
      <c r="B36" s="43">
        <v>130.0</v>
      </c>
      <c r="C36" s="8"/>
      <c r="D36" s="33"/>
    </row>
    <row r="37">
      <c r="A37" s="1" t="s">
        <v>36</v>
      </c>
      <c r="B37" s="8">
        <v>130.0</v>
      </c>
      <c r="C37" s="8"/>
      <c r="D37" s="33"/>
    </row>
    <row r="38">
      <c r="A38" s="1" t="s">
        <v>307</v>
      </c>
      <c r="B38" s="8">
        <v>60.0</v>
      </c>
      <c r="C38" s="8"/>
      <c r="D38" s="33"/>
    </row>
    <row r="39">
      <c r="A39" s="1" t="s">
        <v>56</v>
      </c>
      <c r="B39" s="8">
        <v>114.0</v>
      </c>
      <c r="C39" s="8"/>
      <c r="D39" s="33"/>
    </row>
    <row r="40">
      <c r="A40" s="1" t="s">
        <v>56</v>
      </c>
      <c r="B40" s="8">
        <v>400.0</v>
      </c>
      <c r="C40" s="8" t="s">
        <v>1398</v>
      </c>
      <c r="D40" s="33"/>
    </row>
    <row r="41">
      <c r="A41" s="1" t="s">
        <v>41</v>
      </c>
      <c r="B41" s="8">
        <v>24.0</v>
      </c>
      <c r="C41" s="8"/>
      <c r="D41" s="33"/>
    </row>
    <row r="42">
      <c r="A42" s="1" t="s">
        <v>55</v>
      </c>
      <c r="B42" s="8">
        <v>164.0</v>
      </c>
      <c r="C42" s="8"/>
      <c r="D42" s="33"/>
    </row>
    <row r="43">
      <c r="A43" s="1" t="s">
        <v>55</v>
      </c>
      <c r="B43" s="8">
        <v>820.0</v>
      </c>
      <c r="C43" s="8" t="s">
        <v>1354</v>
      </c>
      <c r="D43" s="33"/>
    </row>
    <row r="44">
      <c r="A44" s="1" t="s">
        <v>56</v>
      </c>
      <c r="B44" s="8">
        <v>105.0</v>
      </c>
      <c r="C44" s="8"/>
      <c r="D44" s="33"/>
    </row>
    <row r="45">
      <c r="A45" s="1" t="s">
        <v>47</v>
      </c>
      <c r="B45" s="8">
        <v>700.0</v>
      </c>
      <c r="C45" s="8"/>
      <c r="D45" s="33"/>
    </row>
    <row r="46">
      <c r="A46" s="1" t="s">
        <v>36</v>
      </c>
      <c r="B46" s="8">
        <v>51.0</v>
      </c>
      <c r="C46" s="8"/>
      <c r="D46" s="33"/>
    </row>
    <row r="47">
      <c r="A47" s="1" t="s">
        <v>36</v>
      </c>
      <c r="B47" s="8">
        <v>17.0</v>
      </c>
      <c r="C47" s="8"/>
      <c r="D47" s="33"/>
    </row>
    <row r="48">
      <c r="A48" s="1" t="s">
        <v>58</v>
      </c>
      <c r="B48" s="8">
        <v>24.0</v>
      </c>
      <c r="C48" s="8" t="s">
        <v>1399</v>
      </c>
      <c r="D48" s="33"/>
    </row>
    <row r="49">
      <c r="A49" s="1" t="s">
        <v>58</v>
      </c>
      <c r="B49" s="8">
        <v>13.0</v>
      </c>
      <c r="C49" s="8" t="s">
        <v>1054</v>
      </c>
      <c r="D49" s="33"/>
    </row>
    <row r="50">
      <c r="A50" s="1" t="s">
        <v>307</v>
      </c>
      <c r="B50" s="8">
        <v>50.0</v>
      </c>
      <c r="C50" s="8" t="s">
        <v>1400</v>
      </c>
      <c r="D50" s="33"/>
    </row>
    <row r="51">
      <c r="A51" s="1" t="s">
        <v>56</v>
      </c>
      <c r="B51" s="8">
        <v>63.0</v>
      </c>
      <c r="C51" s="8" t="s">
        <v>1326</v>
      </c>
      <c r="D51" s="33"/>
    </row>
    <row r="52">
      <c r="A52" s="1" t="s">
        <v>56</v>
      </c>
      <c r="B52" s="8">
        <v>68.0</v>
      </c>
      <c r="C52" s="8" t="s">
        <v>1401</v>
      </c>
      <c r="D52" s="33"/>
    </row>
    <row r="53">
      <c r="A53" s="1" t="s">
        <v>36</v>
      </c>
      <c r="B53" s="8">
        <v>60.0</v>
      </c>
      <c r="C53" s="8"/>
      <c r="D53" s="33"/>
    </row>
    <row r="54">
      <c r="A54" s="1" t="s">
        <v>47</v>
      </c>
      <c r="B54" s="8">
        <v>27.0</v>
      </c>
      <c r="C54" s="8" t="s">
        <v>1402</v>
      </c>
      <c r="D54" s="33"/>
    </row>
    <row r="55">
      <c r="A55" s="1" t="s">
        <v>51</v>
      </c>
      <c r="B55" s="8">
        <v>220.0</v>
      </c>
      <c r="C55" s="8"/>
      <c r="D55" s="33"/>
    </row>
    <row r="56">
      <c r="A56" s="1" t="s">
        <v>51</v>
      </c>
      <c r="B56" s="8">
        <v>86.0</v>
      </c>
      <c r="C56" s="8"/>
      <c r="D56" s="33"/>
    </row>
    <row r="57">
      <c r="A57" s="1" t="s">
        <v>58</v>
      </c>
      <c r="B57" s="8">
        <v>220.0</v>
      </c>
      <c r="C57" s="8" t="s">
        <v>1403</v>
      </c>
      <c r="D57" s="33"/>
    </row>
    <row r="58">
      <c r="A58" s="1" t="s">
        <v>55</v>
      </c>
      <c r="B58" s="8">
        <v>163.0</v>
      </c>
      <c r="C58" s="8"/>
      <c r="D58" s="33"/>
    </row>
    <row r="59">
      <c r="A59" s="1" t="s">
        <v>47</v>
      </c>
      <c r="B59" s="8">
        <v>95.0</v>
      </c>
      <c r="C59" s="8" t="s">
        <v>1404</v>
      </c>
      <c r="D59" s="33"/>
    </row>
    <row r="60">
      <c r="A60" s="1" t="s">
        <v>56</v>
      </c>
      <c r="B60" s="8">
        <v>200.0</v>
      </c>
      <c r="C60" s="8" t="s">
        <v>1405</v>
      </c>
      <c r="D60" s="33"/>
    </row>
    <row r="61">
      <c r="A61" s="1" t="s">
        <v>73</v>
      </c>
      <c r="B61" s="8">
        <v>150.0</v>
      </c>
      <c r="C61" s="8"/>
      <c r="D61" s="33"/>
    </row>
    <row r="62">
      <c r="A62" s="1" t="s">
        <v>36</v>
      </c>
      <c r="B62" s="8">
        <v>45.0</v>
      </c>
      <c r="C62" s="8"/>
      <c r="D62" s="33"/>
    </row>
    <row r="63">
      <c r="A63" s="1" t="s">
        <v>47</v>
      </c>
      <c r="B63" s="8">
        <v>172.0</v>
      </c>
      <c r="C63" s="8"/>
      <c r="D63" s="33"/>
    </row>
    <row r="64">
      <c r="A64" s="1" t="s">
        <v>47</v>
      </c>
      <c r="B64" s="8">
        <v>165.0</v>
      </c>
      <c r="C64" s="8"/>
      <c r="D64" s="33"/>
    </row>
    <row r="65">
      <c r="A65" s="1" t="s">
        <v>36</v>
      </c>
      <c r="B65" s="8">
        <v>60.0</v>
      </c>
      <c r="C65" s="8"/>
      <c r="D65" s="33"/>
    </row>
    <row r="66">
      <c r="A66" s="1" t="s">
        <v>56</v>
      </c>
      <c r="B66" s="8">
        <v>60.0</v>
      </c>
      <c r="C66" s="8"/>
      <c r="D66" s="33"/>
    </row>
    <row r="67">
      <c r="A67" s="3"/>
      <c r="B67" s="8"/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9886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56</v>
      </c>
      <c r="B3" s="30">
        <v>56.0</v>
      </c>
      <c r="C3" s="8" t="s">
        <v>1406</v>
      </c>
      <c r="D3" s="33">
        <v>44378.0</v>
      </c>
      <c r="E3" s="1" t="s">
        <v>34</v>
      </c>
      <c r="F3" s="8">
        <v>20368.0</v>
      </c>
      <c r="H3" s="8">
        <f>Zbiorczy!D13</f>
        <v>65145.29</v>
      </c>
      <c r="J3" s="3">
        <f t="shared" ref="J3:J7" si="1">SUMIF($A$3:A$101, K3, B$3:B$101)</f>
        <v>1460</v>
      </c>
      <c r="K3" s="1" t="s">
        <v>35</v>
      </c>
      <c r="M3" s="3">
        <f t="shared" ref="M3:M8" si="2">SUMIF($A$3:A$101, N3, B$3:B$101)</f>
        <v>968</v>
      </c>
      <c r="N3" s="1" t="s">
        <v>36</v>
      </c>
    </row>
    <row r="4">
      <c r="A4" s="1" t="s">
        <v>56</v>
      </c>
      <c r="B4" s="8">
        <v>80.0</v>
      </c>
      <c r="C4" s="8" t="s">
        <v>1407</v>
      </c>
      <c r="D4" s="33">
        <v>44378.0</v>
      </c>
      <c r="F4" s="8"/>
      <c r="J4" s="3">
        <f t="shared" si="1"/>
        <v>2328</v>
      </c>
      <c r="K4" s="1" t="s">
        <v>40</v>
      </c>
      <c r="M4" s="3">
        <f t="shared" si="2"/>
        <v>38</v>
      </c>
      <c r="N4" s="1" t="s">
        <v>41</v>
      </c>
    </row>
    <row r="5">
      <c r="A5" s="1" t="s">
        <v>41</v>
      </c>
      <c r="B5" s="8">
        <v>14.0</v>
      </c>
      <c r="C5" s="8"/>
      <c r="D5" s="35"/>
      <c r="J5" s="3">
        <f t="shared" si="1"/>
        <v>3619</v>
      </c>
      <c r="K5" s="1" t="s">
        <v>46</v>
      </c>
      <c r="M5" s="3">
        <f t="shared" si="2"/>
        <v>32</v>
      </c>
      <c r="N5" s="1" t="s">
        <v>47</v>
      </c>
    </row>
    <row r="6">
      <c r="A6" s="1" t="s">
        <v>36</v>
      </c>
      <c r="B6" s="8">
        <v>90.0</v>
      </c>
      <c r="C6" s="8" t="s">
        <v>795</v>
      </c>
      <c r="D6" s="35"/>
      <c r="J6" s="3">
        <f t="shared" si="1"/>
        <v>695</v>
      </c>
      <c r="K6" s="1" t="s">
        <v>50</v>
      </c>
      <c r="M6" s="3">
        <f t="shared" si="2"/>
        <v>210</v>
      </c>
      <c r="N6" s="1" t="s">
        <v>51</v>
      </c>
    </row>
    <row r="7">
      <c r="A7" s="1" t="s">
        <v>36</v>
      </c>
      <c r="B7" s="8">
        <v>20.0</v>
      </c>
      <c r="C7" s="40"/>
      <c r="D7" s="33"/>
      <c r="J7" s="3">
        <f t="shared" si="1"/>
        <v>1784</v>
      </c>
      <c r="K7" s="1" t="s">
        <v>55</v>
      </c>
      <c r="M7" s="3">
        <f t="shared" si="2"/>
        <v>2140</v>
      </c>
      <c r="N7" s="1" t="s">
        <v>56</v>
      </c>
    </row>
    <row r="8">
      <c r="A8" s="1" t="s">
        <v>201</v>
      </c>
      <c r="B8" s="1">
        <v>1460.0</v>
      </c>
      <c r="D8" s="33"/>
      <c r="M8" s="3">
        <f t="shared" si="2"/>
        <v>32</v>
      </c>
      <c r="N8" s="1" t="s">
        <v>47</v>
      </c>
    </row>
    <row r="9">
      <c r="A9" s="1" t="s">
        <v>307</v>
      </c>
      <c r="B9" s="8">
        <v>169.0</v>
      </c>
      <c r="C9" s="8"/>
      <c r="D9" s="33"/>
    </row>
    <row r="10">
      <c r="A10" s="1" t="s">
        <v>56</v>
      </c>
      <c r="B10" s="8">
        <v>13.0</v>
      </c>
      <c r="C10" s="8"/>
      <c r="D10" s="35"/>
    </row>
    <row r="11">
      <c r="A11" s="1" t="s">
        <v>41</v>
      </c>
      <c r="B11" s="8">
        <v>15.0</v>
      </c>
      <c r="C11" s="8"/>
      <c r="D11" s="35"/>
    </row>
    <row r="12">
      <c r="A12" s="1" t="s">
        <v>56</v>
      </c>
      <c r="B12" s="8">
        <v>12.0</v>
      </c>
      <c r="C12" s="8"/>
      <c r="D12" s="35"/>
    </row>
    <row r="13">
      <c r="A13" s="1" t="s">
        <v>41</v>
      </c>
      <c r="B13" s="8">
        <v>3.0</v>
      </c>
      <c r="C13" s="8"/>
      <c r="D13" s="33"/>
    </row>
    <row r="14">
      <c r="A14" s="1" t="s">
        <v>56</v>
      </c>
      <c r="B14" s="8">
        <v>150.0</v>
      </c>
      <c r="C14" s="8"/>
      <c r="D14" s="33"/>
    </row>
    <row r="15">
      <c r="A15" s="1" t="s">
        <v>37</v>
      </c>
      <c r="B15" s="8">
        <v>36.0</v>
      </c>
      <c r="C15" s="8"/>
      <c r="D15" s="33"/>
    </row>
    <row r="16">
      <c r="A16" s="1" t="s">
        <v>47</v>
      </c>
      <c r="B16" s="8">
        <v>10.0</v>
      </c>
      <c r="C16" s="8"/>
      <c r="D16" s="33"/>
    </row>
    <row r="17">
      <c r="A17" s="1" t="s">
        <v>47</v>
      </c>
      <c r="B17" s="8">
        <v>22.0</v>
      </c>
      <c r="C17" s="8"/>
      <c r="D17" s="33"/>
    </row>
    <row r="18">
      <c r="A18" s="1" t="s">
        <v>37</v>
      </c>
      <c r="B18" s="8">
        <v>30.0</v>
      </c>
      <c r="C18" s="8"/>
      <c r="D18" s="25"/>
    </row>
    <row r="19">
      <c r="A19" s="1" t="s">
        <v>36</v>
      </c>
      <c r="B19" s="8">
        <v>46.0</v>
      </c>
      <c r="C19" s="8"/>
      <c r="D19" s="33"/>
    </row>
    <row r="20">
      <c r="A20" s="1" t="s">
        <v>42</v>
      </c>
      <c r="B20" s="8">
        <v>35.0</v>
      </c>
      <c r="C20" s="8"/>
      <c r="D20" s="33"/>
    </row>
    <row r="21">
      <c r="A21" s="1" t="s">
        <v>56</v>
      </c>
      <c r="B21" s="8">
        <v>30.0</v>
      </c>
      <c r="C21" s="8"/>
      <c r="D21" s="33"/>
    </row>
    <row r="22">
      <c r="A22" s="1" t="s">
        <v>50</v>
      </c>
      <c r="B22" s="8">
        <v>445.0</v>
      </c>
      <c r="C22" s="8"/>
      <c r="D22" s="33"/>
    </row>
    <row r="23">
      <c r="A23" s="1" t="s">
        <v>842</v>
      </c>
      <c r="B23" s="8">
        <v>100.0</v>
      </c>
      <c r="C23" s="8"/>
      <c r="D23" s="33"/>
    </row>
    <row r="24">
      <c r="A24" s="1" t="s">
        <v>56</v>
      </c>
      <c r="B24" s="8">
        <v>30.0</v>
      </c>
      <c r="C24" s="8"/>
      <c r="D24" s="33"/>
    </row>
    <row r="25">
      <c r="A25" s="1" t="s">
        <v>56</v>
      </c>
      <c r="B25" s="8">
        <v>50.0</v>
      </c>
      <c r="C25" s="8"/>
      <c r="D25" s="33"/>
    </row>
    <row r="26">
      <c r="A26" s="1" t="s">
        <v>58</v>
      </c>
      <c r="B26" s="8">
        <v>230.0</v>
      </c>
      <c r="C26" s="8"/>
      <c r="D26" s="33"/>
    </row>
    <row r="27">
      <c r="A27" s="1" t="s">
        <v>41</v>
      </c>
      <c r="B27" s="30">
        <v>6.0</v>
      </c>
      <c r="C27" s="8"/>
      <c r="D27" s="33"/>
    </row>
    <row r="28">
      <c r="A28" s="1" t="s">
        <v>56</v>
      </c>
      <c r="B28" s="8">
        <v>140.0</v>
      </c>
      <c r="C28" s="8"/>
      <c r="D28" s="33"/>
    </row>
    <row r="29">
      <c r="A29" s="1" t="s">
        <v>36</v>
      </c>
      <c r="B29" s="8">
        <v>220.0</v>
      </c>
      <c r="C29" s="8"/>
      <c r="D29" s="33"/>
    </row>
    <row r="30">
      <c r="A30" s="1" t="s">
        <v>56</v>
      </c>
      <c r="B30" s="8">
        <v>45.0</v>
      </c>
      <c r="C30" s="8"/>
      <c r="D30" s="35"/>
    </row>
    <row r="31">
      <c r="A31" s="1" t="s">
        <v>36</v>
      </c>
      <c r="B31" s="8">
        <v>50.0</v>
      </c>
      <c r="C31" s="8"/>
      <c r="D31" s="33"/>
    </row>
    <row r="32">
      <c r="A32" s="1" t="s">
        <v>51</v>
      </c>
      <c r="B32" s="8">
        <v>210.0</v>
      </c>
      <c r="C32" s="8"/>
      <c r="D32" s="33"/>
    </row>
    <row r="33">
      <c r="A33" s="1" t="s">
        <v>56</v>
      </c>
      <c r="B33" s="8">
        <v>670.0</v>
      </c>
      <c r="C33" s="8"/>
      <c r="D33" s="33"/>
    </row>
    <row r="34">
      <c r="A34" s="1" t="s">
        <v>56</v>
      </c>
      <c r="B34" s="8">
        <v>39.0</v>
      </c>
      <c r="C34" s="8"/>
      <c r="D34" s="33"/>
    </row>
    <row r="35">
      <c r="A35" s="1" t="s">
        <v>42</v>
      </c>
      <c r="B35" s="8">
        <v>120.0</v>
      </c>
      <c r="C35" s="8"/>
      <c r="D35" s="33"/>
    </row>
    <row r="36">
      <c r="A36" s="1" t="s">
        <v>46</v>
      </c>
      <c r="B36" s="44">
        <v>3619.0</v>
      </c>
      <c r="C36" s="8"/>
      <c r="D36" s="33"/>
    </row>
    <row r="37">
      <c r="A37" s="1" t="s">
        <v>40</v>
      </c>
      <c r="B37" s="8">
        <v>2328.0</v>
      </c>
      <c r="C37" s="8"/>
      <c r="D37" s="33"/>
    </row>
    <row r="38">
      <c r="A38" s="1" t="s">
        <v>55</v>
      </c>
      <c r="B38" s="8">
        <v>821.0</v>
      </c>
      <c r="C38" s="8"/>
      <c r="D38" s="33"/>
    </row>
    <row r="39">
      <c r="A39" s="1" t="s">
        <v>36</v>
      </c>
      <c r="B39" s="8">
        <v>25.0</v>
      </c>
      <c r="C39" s="8"/>
      <c r="D39" s="33"/>
    </row>
    <row r="40">
      <c r="A40" s="1" t="s">
        <v>36</v>
      </c>
      <c r="B40" s="8">
        <v>33.0</v>
      </c>
      <c r="C40" s="8"/>
      <c r="D40" s="33"/>
    </row>
    <row r="41">
      <c r="A41" s="1" t="s">
        <v>56</v>
      </c>
      <c r="B41" s="8">
        <v>320.0</v>
      </c>
      <c r="C41" s="8"/>
      <c r="D41" s="33"/>
    </row>
    <row r="42">
      <c r="A42" s="1" t="s">
        <v>36</v>
      </c>
      <c r="B42" s="8">
        <v>40.0</v>
      </c>
      <c r="C42" s="8"/>
      <c r="D42" s="33"/>
    </row>
    <row r="43">
      <c r="A43" s="1" t="s">
        <v>36</v>
      </c>
      <c r="B43" s="8">
        <v>35.0</v>
      </c>
      <c r="C43" s="8"/>
      <c r="D43" s="33"/>
    </row>
    <row r="44">
      <c r="A44" s="1" t="s">
        <v>36</v>
      </c>
      <c r="B44" s="8">
        <v>38.0</v>
      </c>
      <c r="C44" s="8"/>
      <c r="D44" s="33"/>
    </row>
    <row r="45">
      <c r="A45" s="1" t="s">
        <v>36</v>
      </c>
      <c r="B45" s="8">
        <v>48.0</v>
      </c>
      <c r="C45" s="8"/>
      <c r="D45" s="33"/>
    </row>
    <row r="46">
      <c r="A46" s="1" t="s">
        <v>36</v>
      </c>
      <c r="B46" s="8">
        <v>51.0</v>
      </c>
      <c r="C46" s="8"/>
      <c r="D46" s="33"/>
    </row>
    <row r="47">
      <c r="A47" s="1" t="s">
        <v>36</v>
      </c>
      <c r="B47" s="8">
        <v>50.0</v>
      </c>
      <c r="C47" s="8"/>
      <c r="D47" s="33"/>
    </row>
    <row r="48">
      <c r="A48" s="1" t="s">
        <v>56</v>
      </c>
      <c r="B48" s="8">
        <v>45.0</v>
      </c>
      <c r="C48" s="8"/>
      <c r="D48" s="33"/>
    </row>
    <row r="49">
      <c r="A49" s="1" t="s">
        <v>36</v>
      </c>
      <c r="B49" s="8">
        <v>30.0</v>
      </c>
      <c r="C49" s="8"/>
      <c r="D49" s="33"/>
    </row>
    <row r="50">
      <c r="A50" s="1" t="s">
        <v>56</v>
      </c>
      <c r="B50" s="8">
        <v>50.0</v>
      </c>
      <c r="C50" s="8"/>
      <c r="D50" s="33"/>
    </row>
    <row r="51">
      <c r="A51" s="1" t="s">
        <v>55</v>
      </c>
      <c r="B51" s="8">
        <v>800.0</v>
      </c>
      <c r="C51" s="8"/>
      <c r="D51" s="33"/>
    </row>
    <row r="52">
      <c r="A52" s="1" t="s">
        <v>55</v>
      </c>
      <c r="B52" s="8">
        <v>163.0</v>
      </c>
      <c r="C52" s="8"/>
      <c r="D52" s="33"/>
    </row>
    <row r="53">
      <c r="A53" s="1" t="s">
        <v>36</v>
      </c>
      <c r="B53" s="8">
        <v>70.0</v>
      </c>
      <c r="C53" s="8"/>
      <c r="D53" s="33"/>
    </row>
    <row r="54">
      <c r="A54" s="1" t="s">
        <v>36</v>
      </c>
      <c r="B54" s="8">
        <v>72.0</v>
      </c>
      <c r="C54" s="8"/>
      <c r="D54" s="33"/>
    </row>
    <row r="55">
      <c r="A55" s="1" t="s">
        <v>56</v>
      </c>
      <c r="B55" s="8">
        <v>21.0</v>
      </c>
      <c r="C55" s="8"/>
      <c r="D55" s="33"/>
    </row>
    <row r="56">
      <c r="A56" s="1" t="s">
        <v>56</v>
      </c>
      <c r="B56" s="8">
        <v>60.0</v>
      </c>
      <c r="C56" s="8"/>
      <c r="D56" s="33"/>
    </row>
    <row r="57">
      <c r="A57" s="1" t="s">
        <v>56</v>
      </c>
      <c r="B57" s="8">
        <v>26.0</v>
      </c>
      <c r="C57" s="8"/>
      <c r="D57" s="33"/>
    </row>
    <row r="58">
      <c r="A58" s="1" t="s">
        <v>36</v>
      </c>
      <c r="B58" s="8">
        <v>38.0</v>
      </c>
      <c r="C58" s="8"/>
      <c r="D58" s="33"/>
    </row>
    <row r="59">
      <c r="A59" s="1" t="s">
        <v>36</v>
      </c>
      <c r="B59" s="8">
        <v>12.0</v>
      </c>
      <c r="C59" s="8"/>
      <c r="D59" s="33"/>
    </row>
    <row r="60">
      <c r="A60" s="1" t="s">
        <v>56</v>
      </c>
      <c r="B60" s="8">
        <v>65.0</v>
      </c>
      <c r="C60" s="8"/>
      <c r="D60" s="33"/>
    </row>
    <row r="61">
      <c r="A61" s="1" t="s">
        <v>58</v>
      </c>
      <c r="B61" s="8">
        <v>234.0</v>
      </c>
      <c r="C61" s="8"/>
      <c r="D61" s="33"/>
    </row>
    <row r="62">
      <c r="A62" s="1" t="s">
        <v>56</v>
      </c>
      <c r="B62" s="8">
        <v>44.0</v>
      </c>
      <c r="C62" s="8"/>
      <c r="D62" s="33"/>
    </row>
    <row r="63">
      <c r="A63" s="1" t="s">
        <v>56</v>
      </c>
      <c r="B63" s="8">
        <v>109.0</v>
      </c>
      <c r="C63" s="8"/>
      <c r="D63" s="33"/>
    </row>
    <row r="64">
      <c r="A64" s="1" t="s">
        <v>56</v>
      </c>
      <c r="B64" s="8">
        <v>37.0</v>
      </c>
      <c r="C64" s="8"/>
      <c r="D64" s="33"/>
    </row>
    <row r="65">
      <c r="A65" s="1" t="s">
        <v>56</v>
      </c>
      <c r="B65" s="8">
        <v>24.0</v>
      </c>
      <c r="C65" s="8"/>
      <c r="D65" s="33"/>
    </row>
    <row r="66">
      <c r="A66" s="1" t="s">
        <v>50</v>
      </c>
      <c r="B66" s="8">
        <v>250.0</v>
      </c>
      <c r="C66" s="8"/>
      <c r="D66" s="33"/>
    </row>
    <row r="67">
      <c r="A67" s="1" t="s">
        <v>56</v>
      </c>
      <c r="B67" s="8">
        <v>24.0</v>
      </c>
      <c r="C67" s="8"/>
      <c r="D67" s="33"/>
    </row>
    <row r="68">
      <c r="A68" s="3"/>
      <c r="B68" s="8"/>
      <c r="C68" s="8"/>
      <c r="D68" s="33"/>
    </row>
    <row r="69">
      <c r="A69" s="3"/>
      <c r="B69" s="8"/>
      <c r="C69" s="8"/>
      <c r="D69" s="33"/>
    </row>
    <row r="70">
      <c r="A70" s="3"/>
      <c r="B70" s="8"/>
      <c r="C70" s="8"/>
      <c r="D70" s="33"/>
    </row>
    <row r="71">
      <c r="A71" s="3"/>
      <c r="B71" s="8"/>
      <c r="C71" s="8"/>
      <c r="D71" s="33"/>
    </row>
    <row r="72">
      <c r="A72" s="3"/>
      <c r="B72" s="8"/>
      <c r="C72" s="8"/>
      <c r="D72" s="33"/>
    </row>
    <row r="73">
      <c r="A73" s="3"/>
      <c r="B73" s="8"/>
      <c r="C73" s="8"/>
      <c r="D73" s="35"/>
    </row>
    <row r="74">
      <c r="A74" s="3"/>
      <c r="B74" s="8"/>
      <c r="C74" s="8"/>
      <c r="D74" s="33"/>
    </row>
    <row r="75">
      <c r="A75" s="3"/>
      <c r="B75" s="8"/>
      <c r="C75" s="8"/>
      <c r="D75" s="33"/>
    </row>
    <row r="76">
      <c r="A76" s="3"/>
      <c r="B76" s="8"/>
      <c r="C76" s="8"/>
      <c r="D76" s="33"/>
    </row>
    <row r="77">
      <c r="A77" s="3"/>
      <c r="B77" s="8"/>
      <c r="C77" s="8"/>
      <c r="D77" s="33"/>
    </row>
    <row r="78">
      <c r="A78" s="3"/>
      <c r="B78" s="8"/>
      <c r="C78" s="8"/>
      <c r="D78" s="33"/>
    </row>
    <row r="79">
      <c r="A79" s="3"/>
      <c r="B79" s="8"/>
      <c r="C79" s="8"/>
      <c r="D79" s="25"/>
    </row>
    <row r="80">
      <c r="A80" s="3"/>
      <c r="B80" s="8"/>
      <c r="C80" s="8"/>
      <c r="D80" s="25"/>
    </row>
    <row r="81">
      <c r="A81" s="3"/>
      <c r="B81" s="8"/>
      <c r="C81" s="8"/>
      <c r="D81" s="25"/>
    </row>
    <row r="82">
      <c r="A82" s="3"/>
      <c r="B82" s="8"/>
      <c r="C82" s="8"/>
      <c r="D82" s="25"/>
    </row>
    <row r="83">
      <c r="A83" s="3"/>
      <c r="B83" s="8"/>
      <c r="C83" s="8"/>
      <c r="D83" s="25"/>
    </row>
    <row r="84">
      <c r="A84" s="3"/>
      <c r="B84" s="8"/>
      <c r="C84" s="2"/>
      <c r="D84" s="25"/>
    </row>
    <row r="85">
      <c r="A85" s="3"/>
      <c r="B85" s="8"/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10877</v>
      </c>
    </row>
    <row r="2">
      <c r="A2" s="1" t="s">
        <v>30</v>
      </c>
      <c r="B2" s="8" t="s">
        <v>31</v>
      </c>
      <c r="C2" s="8" t="s">
        <v>32</v>
      </c>
      <c r="D2" s="1" t="s">
        <v>33</v>
      </c>
    </row>
    <row r="3">
      <c r="A3" s="1" t="s">
        <v>46</v>
      </c>
      <c r="B3" s="30">
        <v>4369.0</v>
      </c>
      <c r="C3" s="8"/>
      <c r="D3" s="33">
        <v>44361.0</v>
      </c>
      <c r="E3" s="1" t="s">
        <v>34</v>
      </c>
      <c r="F3" s="8">
        <v>24166.0</v>
      </c>
      <c r="H3" s="8">
        <f>Zbiorczy!D12</f>
        <v>56586.29</v>
      </c>
      <c r="J3" s="3">
        <f t="shared" ref="J3:J7" si="1">SUMIF($A$3:A$101, K3, B$3:B$101)</f>
        <v>1458</v>
      </c>
      <c r="K3" s="1" t="s">
        <v>35</v>
      </c>
      <c r="M3" s="3">
        <f t="shared" ref="M3:M8" si="2">SUMIF($A$3:A$101, N3, B$3:B$101)</f>
        <v>1170</v>
      </c>
      <c r="N3" s="1" t="s">
        <v>36</v>
      </c>
    </row>
    <row r="4">
      <c r="A4" s="1" t="s">
        <v>40</v>
      </c>
      <c r="B4" s="8">
        <v>2912.0</v>
      </c>
      <c r="C4" s="8"/>
      <c r="D4" s="33">
        <v>44361.0</v>
      </c>
      <c r="E4" s="1" t="s">
        <v>1408</v>
      </c>
      <c r="F4" s="8">
        <v>900.0</v>
      </c>
      <c r="J4" s="3">
        <f t="shared" si="1"/>
        <v>2912</v>
      </c>
      <c r="K4" s="1" t="s">
        <v>40</v>
      </c>
      <c r="M4" s="3">
        <f t="shared" si="2"/>
        <v>71</v>
      </c>
      <c r="N4" s="1" t="s">
        <v>41</v>
      </c>
    </row>
    <row r="5">
      <c r="A5" s="1" t="s">
        <v>201</v>
      </c>
      <c r="B5" s="8">
        <v>1458.0</v>
      </c>
      <c r="C5" s="8"/>
      <c r="D5" s="35">
        <v>44348.0</v>
      </c>
      <c r="J5" s="3">
        <f t="shared" si="1"/>
        <v>4369</v>
      </c>
      <c r="K5" s="1" t="s">
        <v>46</v>
      </c>
      <c r="M5" s="3">
        <f t="shared" si="2"/>
        <v>209</v>
      </c>
      <c r="N5" s="1" t="s">
        <v>47</v>
      </c>
    </row>
    <row r="6">
      <c r="A6" s="1" t="s">
        <v>55</v>
      </c>
      <c r="B6" s="8">
        <v>820.0</v>
      </c>
      <c r="C6" s="8" t="s">
        <v>1409</v>
      </c>
      <c r="D6" s="35">
        <v>44374.0</v>
      </c>
      <c r="J6" s="3">
        <f t="shared" si="1"/>
        <v>990</v>
      </c>
      <c r="K6" s="1" t="s">
        <v>50</v>
      </c>
      <c r="M6" s="3">
        <f t="shared" si="2"/>
        <v>432</v>
      </c>
      <c r="N6" s="1" t="s">
        <v>51</v>
      </c>
    </row>
    <row r="7">
      <c r="A7" s="1" t="s">
        <v>56</v>
      </c>
      <c r="B7" s="8">
        <v>600.0</v>
      </c>
      <c r="C7" s="40" t="s">
        <v>1410</v>
      </c>
      <c r="D7" s="33">
        <v>44355.0</v>
      </c>
      <c r="J7" s="3">
        <f t="shared" si="1"/>
        <v>1148</v>
      </c>
      <c r="K7" s="1" t="s">
        <v>55</v>
      </c>
      <c r="M7" s="3">
        <f t="shared" si="2"/>
        <v>1842</v>
      </c>
      <c r="N7" s="1" t="s">
        <v>56</v>
      </c>
    </row>
    <row r="8">
      <c r="A8" s="1" t="s">
        <v>50</v>
      </c>
      <c r="B8" s="1">
        <v>445.0</v>
      </c>
      <c r="C8" s="1" t="s">
        <v>1411</v>
      </c>
      <c r="D8" s="33">
        <v>44375.0</v>
      </c>
      <c r="M8" s="3">
        <f t="shared" si="2"/>
        <v>209</v>
      </c>
      <c r="N8" s="1" t="s">
        <v>47</v>
      </c>
    </row>
    <row r="9">
      <c r="A9" s="1" t="s">
        <v>56</v>
      </c>
      <c r="B9" s="8">
        <v>286.0</v>
      </c>
      <c r="C9" s="8" t="s">
        <v>1412</v>
      </c>
      <c r="D9" s="33">
        <v>44354.0</v>
      </c>
    </row>
    <row r="10">
      <c r="A10" s="1" t="s">
        <v>51</v>
      </c>
      <c r="B10" s="8">
        <v>229.0</v>
      </c>
      <c r="C10" s="8"/>
      <c r="D10" s="35">
        <v>44348.0</v>
      </c>
    </row>
    <row r="11">
      <c r="A11" s="1" t="s">
        <v>56</v>
      </c>
      <c r="B11" s="8">
        <v>224.0</v>
      </c>
      <c r="C11" s="8" t="s">
        <v>823</v>
      </c>
      <c r="D11" s="35">
        <v>44348.0</v>
      </c>
    </row>
    <row r="12">
      <c r="A12" s="1" t="s">
        <v>50</v>
      </c>
      <c r="B12" s="8">
        <v>220.0</v>
      </c>
      <c r="C12" s="8"/>
      <c r="D12" s="35">
        <v>44348.0</v>
      </c>
    </row>
    <row r="13">
      <c r="A13" s="1" t="s">
        <v>307</v>
      </c>
      <c r="B13" s="8">
        <v>220.0</v>
      </c>
      <c r="C13" s="8"/>
      <c r="D13" s="33">
        <v>44363.0</v>
      </c>
    </row>
    <row r="14">
      <c r="A14" s="1" t="s">
        <v>772</v>
      </c>
      <c r="B14" s="8">
        <v>200.0</v>
      </c>
      <c r="C14" s="8" t="s">
        <v>1297</v>
      </c>
      <c r="D14" s="33">
        <v>44356.0</v>
      </c>
    </row>
    <row r="15">
      <c r="A15" s="1" t="s">
        <v>47</v>
      </c>
      <c r="B15" s="8">
        <v>169.0</v>
      </c>
      <c r="C15" s="8" t="s">
        <v>1413</v>
      </c>
      <c r="D15" s="33">
        <v>44358.0</v>
      </c>
    </row>
    <row r="16">
      <c r="A16" s="1" t="s">
        <v>148</v>
      </c>
      <c r="B16" s="8">
        <v>167.0</v>
      </c>
      <c r="C16" s="8" t="s">
        <v>1414</v>
      </c>
      <c r="D16" s="33">
        <v>44356.0</v>
      </c>
    </row>
    <row r="17">
      <c r="A17" s="1" t="s">
        <v>55</v>
      </c>
      <c r="B17" s="8">
        <v>164.0</v>
      </c>
      <c r="C17" s="8"/>
      <c r="D17" s="33">
        <v>44361.0</v>
      </c>
    </row>
    <row r="18">
      <c r="A18" s="1" t="s">
        <v>55</v>
      </c>
      <c r="B18" s="8">
        <v>164.0</v>
      </c>
      <c r="C18" s="8"/>
      <c r="D18" s="25"/>
    </row>
    <row r="19">
      <c r="A19" s="1" t="s">
        <v>50</v>
      </c>
      <c r="B19" s="8">
        <v>160.0</v>
      </c>
      <c r="C19" s="8" t="s">
        <v>1415</v>
      </c>
      <c r="D19" s="33">
        <v>44374.0</v>
      </c>
    </row>
    <row r="20">
      <c r="A20" s="1" t="s">
        <v>73</v>
      </c>
      <c r="B20" s="8">
        <v>150.0</v>
      </c>
      <c r="C20" s="8" t="s">
        <v>1416</v>
      </c>
      <c r="D20" s="33">
        <v>44356.0</v>
      </c>
    </row>
    <row r="21">
      <c r="A21" s="1" t="s">
        <v>42</v>
      </c>
      <c r="B21" s="8">
        <v>139.0</v>
      </c>
      <c r="C21" s="8" t="s">
        <v>1417</v>
      </c>
      <c r="D21" s="33">
        <v>44358.0</v>
      </c>
    </row>
    <row r="22">
      <c r="A22" s="1" t="s">
        <v>51</v>
      </c>
      <c r="B22" s="8">
        <v>135.0</v>
      </c>
      <c r="C22" s="8" t="s">
        <v>1418</v>
      </c>
      <c r="D22" s="33">
        <v>44353.0</v>
      </c>
    </row>
    <row r="23">
      <c r="A23" s="1" t="s">
        <v>36</v>
      </c>
      <c r="B23" s="8">
        <v>120.0</v>
      </c>
      <c r="C23" s="8"/>
      <c r="D23" s="33">
        <v>44372.0</v>
      </c>
    </row>
    <row r="24">
      <c r="A24" s="1" t="s">
        <v>56</v>
      </c>
      <c r="B24" s="8">
        <v>110.0</v>
      </c>
      <c r="C24" s="8"/>
      <c r="D24" s="33">
        <v>44374.0</v>
      </c>
    </row>
    <row r="25">
      <c r="A25" s="1" t="s">
        <v>56</v>
      </c>
      <c r="B25" s="8">
        <v>102.0</v>
      </c>
      <c r="C25" s="8" t="s">
        <v>1419</v>
      </c>
      <c r="D25" s="33">
        <v>44357.0</v>
      </c>
    </row>
    <row r="26">
      <c r="A26" s="1" t="s">
        <v>50</v>
      </c>
      <c r="B26" s="8">
        <v>100.0</v>
      </c>
      <c r="C26" s="8" t="s">
        <v>1420</v>
      </c>
      <c r="D26" s="33">
        <v>44356.0</v>
      </c>
    </row>
    <row r="27">
      <c r="A27" s="1" t="s">
        <v>36</v>
      </c>
      <c r="B27" s="30">
        <v>96.0</v>
      </c>
      <c r="C27" s="8"/>
      <c r="D27" s="33">
        <v>44356.0</v>
      </c>
    </row>
    <row r="28">
      <c r="A28" s="1" t="s">
        <v>36</v>
      </c>
      <c r="B28" s="8">
        <v>95.0</v>
      </c>
      <c r="C28" s="8" t="s">
        <v>1421</v>
      </c>
      <c r="D28" s="33">
        <v>44349.0</v>
      </c>
    </row>
    <row r="29">
      <c r="A29" s="1" t="s">
        <v>56</v>
      </c>
      <c r="B29" s="8">
        <v>90.0</v>
      </c>
      <c r="C29" s="8"/>
      <c r="D29" s="33">
        <v>44374.0</v>
      </c>
    </row>
    <row r="30">
      <c r="A30" s="1" t="s">
        <v>56</v>
      </c>
      <c r="B30" s="8">
        <v>88.0</v>
      </c>
      <c r="C30" s="8" t="s">
        <v>1422</v>
      </c>
      <c r="D30" s="35">
        <v>44353.0</v>
      </c>
    </row>
    <row r="31">
      <c r="A31" s="1" t="s">
        <v>36</v>
      </c>
      <c r="B31" s="8">
        <v>75.0</v>
      </c>
      <c r="C31" s="8"/>
      <c r="D31" s="33">
        <v>44374.0</v>
      </c>
    </row>
    <row r="32">
      <c r="A32" s="1" t="s">
        <v>307</v>
      </c>
      <c r="B32" s="8">
        <v>74.0</v>
      </c>
      <c r="C32" s="8"/>
      <c r="D32" s="33">
        <v>44365.0</v>
      </c>
    </row>
    <row r="33">
      <c r="A33" s="1" t="s">
        <v>36</v>
      </c>
      <c r="B33" s="8">
        <v>70.0</v>
      </c>
      <c r="C33" s="8"/>
      <c r="D33" s="33">
        <v>44353.0</v>
      </c>
    </row>
    <row r="34">
      <c r="A34" s="1" t="s">
        <v>51</v>
      </c>
      <c r="B34" s="8">
        <v>68.0</v>
      </c>
      <c r="C34" s="8" t="s">
        <v>1423</v>
      </c>
      <c r="D34" s="33">
        <v>44353.0</v>
      </c>
    </row>
    <row r="35">
      <c r="A35" s="1" t="s">
        <v>36</v>
      </c>
      <c r="B35" s="8">
        <v>67.0</v>
      </c>
      <c r="C35" s="8"/>
      <c r="D35" s="33">
        <v>44357.0</v>
      </c>
    </row>
    <row r="36">
      <c r="A36" s="1" t="s">
        <v>50</v>
      </c>
      <c r="B36" s="8">
        <v>65.0</v>
      </c>
      <c r="C36" s="8" t="s">
        <v>904</v>
      </c>
      <c r="D36" s="33">
        <v>44355.0</v>
      </c>
    </row>
    <row r="37">
      <c r="A37" s="1" t="s">
        <v>148</v>
      </c>
      <c r="B37" s="8">
        <v>65.0</v>
      </c>
      <c r="C37" s="8" t="s">
        <v>1424</v>
      </c>
      <c r="D37" s="33">
        <v>44363.0</v>
      </c>
    </row>
    <row r="38">
      <c r="A38" s="1" t="s">
        <v>36</v>
      </c>
      <c r="B38" s="8">
        <v>56.0</v>
      </c>
      <c r="C38" s="8"/>
      <c r="D38" s="33">
        <v>44361.0</v>
      </c>
    </row>
    <row r="39">
      <c r="A39" s="1" t="s">
        <v>36</v>
      </c>
      <c r="B39" s="8">
        <v>54.0</v>
      </c>
      <c r="C39" s="8"/>
      <c r="D39" s="33">
        <v>44358.0</v>
      </c>
    </row>
    <row r="40">
      <c r="A40" s="1" t="s">
        <v>36</v>
      </c>
      <c r="B40" s="8">
        <v>54.0</v>
      </c>
      <c r="C40" s="8"/>
      <c r="D40" s="33">
        <v>44366.0</v>
      </c>
    </row>
    <row r="41">
      <c r="A41" s="1" t="s">
        <v>56</v>
      </c>
      <c r="B41" s="8">
        <v>50.0</v>
      </c>
      <c r="C41" s="8"/>
      <c r="D41" s="33">
        <v>44374.0</v>
      </c>
    </row>
    <row r="42">
      <c r="A42" s="1" t="s">
        <v>42</v>
      </c>
      <c r="B42" s="8">
        <v>49.0</v>
      </c>
      <c r="C42" s="8" t="s">
        <v>1425</v>
      </c>
      <c r="D42" s="33">
        <v>44358.0</v>
      </c>
    </row>
    <row r="43">
      <c r="A43" s="1" t="s">
        <v>36</v>
      </c>
      <c r="B43" s="8">
        <v>48.0</v>
      </c>
      <c r="C43" s="8"/>
      <c r="D43" s="33">
        <v>44377.0</v>
      </c>
    </row>
    <row r="44">
      <c r="A44" s="1" t="s">
        <v>56</v>
      </c>
      <c r="B44" s="8">
        <v>45.0</v>
      </c>
      <c r="C44" s="8" t="s">
        <v>1321</v>
      </c>
      <c r="D44" s="33">
        <v>44358.0</v>
      </c>
    </row>
    <row r="45">
      <c r="A45" s="1" t="s">
        <v>36</v>
      </c>
      <c r="B45" s="8">
        <v>45.0</v>
      </c>
      <c r="C45" s="8"/>
      <c r="D45" s="33">
        <v>44361.0</v>
      </c>
    </row>
    <row r="46">
      <c r="A46" s="1" t="s">
        <v>36</v>
      </c>
      <c r="B46" s="8">
        <v>41.0</v>
      </c>
      <c r="C46" s="8"/>
      <c r="D46" s="33">
        <v>44368.0</v>
      </c>
    </row>
    <row r="47">
      <c r="A47" s="1" t="s">
        <v>56</v>
      </c>
      <c r="B47" s="8">
        <v>38.0</v>
      </c>
      <c r="C47" s="8" t="s">
        <v>795</v>
      </c>
      <c r="D47" s="33">
        <v>44357.0</v>
      </c>
    </row>
    <row r="48">
      <c r="A48" s="1" t="s">
        <v>36</v>
      </c>
      <c r="B48" s="8">
        <v>37.0</v>
      </c>
      <c r="C48" s="8"/>
      <c r="D48" s="33">
        <v>44374.0</v>
      </c>
    </row>
    <row r="49">
      <c r="A49" s="1" t="s">
        <v>36</v>
      </c>
      <c r="B49" s="8">
        <v>36.0</v>
      </c>
      <c r="C49" s="8"/>
      <c r="D49" s="33">
        <v>44358.0</v>
      </c>
    </row>
    <row r="50">
      <c r="A50" s="1" t="s">
        <v>80</v>
      </c>
      <c r="B50" s="8">
        <v>36.0</v>
      </c>
      <c r="C50" s="8"/>
      <c r="D50" s="33">
        <v>44371.0</v>
      </c>
    </row>
    <row r="51">
      <c r="A51" s="1" t="s">
        <v>36</v>
      </c>
      <c r="B51" s="8">
        <v>33.0</v>
      </c>
      <c r="C51" s="8"/>
      <c r="D51" s="33">
        <v>44376.0</v>
      </c>
    </row>
    <row r="52">
      <c r="A52" s="1" t="s">
        <v>47</v>
      </c>
      <c r="B52" s="8">
        <v>30.0</v>
      </c>
      <c r="C52" s="8" t="s">
        <v>1426</v>
      </c>
      <c r="D52" s="33">
        <v>44361.0</v>
      </c>
    </row>
    <row r="53">
      <c r="A53" s="1" t="s">
        <v>36</v>
      </c>
      <c r="B53" s="8">
        <v>30.0</v>
      </c>
      <c r="C53" s="8"/>
      <c r="D53" s="33">
        <v>44374.0</v>
      </c>
    </row>
    <row r="54">
      <c r="A54" s="1" t="s">
        <v>56</v>
      </c>
      <c r="B54" s="8">
        <v>29.0</v>
      </c>
      <c r="C54" s="8" t="s">
        <v>1427</v>
      </c>
      <c r="D54" s="33">
        <v>44361.0</v>
      </c>
    </row>
    <row r="55">
      <c r="A55" s="1" t="s">
        <v>36</v>
      </c>
      <c r="B55" s="8">
        <v>25.0</v>
      </c>
      <c r="C55" s="8"/>
      <c r="D55" s="33">
        <v>44357.0</v>
      </c>
    </row>
    <row r="56">
      <c r="A56" s="1" t="s">
        <v>56</v>
      </c>
      <c r="B56" s="8">
        <v>25.0</v>
      </c>
      <c r="C56" s="8" t="s">
        <v>1428</v>
      </c>
      <c r="D56" s="33">
        <v>44361.0</v>
      </c>
    </row>
    <row r="57">
      <c r="A57" s="1" t="s">
        <v>80</v>
      </c>
      <c r="B57" s="8">
        <v>24.0</v>
      </c>
      <c r="C57" s="8" t="s">
        <v>1429</v>
      </c>
      <c r="D57" s="33">
        <v>44356.0</v>
      </c>
    </row>
    <row r="58">
      <c r="A58" s="1" t="s">
        <v>56</v>
      </c>
      <c r="B58" s="8">
        <v>24.0</v>
      </c>
      <c r="C58" s="8"/>
      <c r="D58" s="33">
        <v>44373.0</v>
      </c>
    </row>
    <row r="59">
      <c r="A59" s="1" t="s">
        <v>41</v>
      </c>
      <c r="B59" s="8">
        <v>24.0</v>
      </c>
      <c r="C59" s="8"/>
      <c r="D59" s="33">
        <v>44374.0</v>
      </c>
    </row>
    <row r="60">
      <c r="A60" s="1" t="s">
        <v>148</v>
      </c>
      <c r="B60" s="8">
        <v>23.0</v>
      </c>
      <c r="C60" s="8" t="s">
        <v>1430</v>
      </c>
      <c r="D60" s="33">
        <v>44356.0</v>
      </c>
    </row>
    <row r="61">
      <c r="A61" s="1" t="s">
        <v>56</v>
      </c>
      <c r="B61" s="8">
        <v>23.0</v>
      </c>
      <c r="C61" s="8" t="s">
        <v>1318</v>
      </c>
      <c r="D61" s="33">
        <v>44361.0</v>
      </c>
    </row>
    <row r="62">
      <c r="A62" s="1" t="s">
        <v>148</v>
      </c>
      <c r="B62" s="8">
        <v>22.0</v>
      </c>
      <c r="C62" s="8"/>
      <c r="D62" s="33">
        <v>44370.0</v>
      </c>
    </row>
    <row r="63">
      <c r="A63" s="1" t="s">
        <v>36</v>
      </c>
      <c r="B63" s="8">
        <v>21.0</v>
      </c>
      <c r="C63" s="8"/>
      <c r="D63" s="33">
        <v>44364.0</v>
      </c>
    </row>
    <row r="64">
      <c r="A64" s="1" t="s">
        <v>56</v>
      </c>
      <c r="B64" s="8">
        <v>21.0</v>
      </c>
      <c r="C64" s="8"/>
      <c r="D64" s="33">
        <v>44367.0</v>
      </c>
    </row>
    <row r="65">
      <c r="A65" s="1" t="s">
        <v>37</v>
      </c>
      <c r="B65" s="8">
        <v>20.0</v>
      </c>
      <c r="C65" s="8" t="s">
        <v>853</v>
      </c>
      <c r="D65" s="33">
        <v>44353.0</v>
      </c>
    </row>
    <row r="66">
      <c r="A66" s="1" t="s">
        <v>56</v>
      </c>
      <c r="B66" s="8">
        <v>20.0</v>
      </c>
      <c r="C66" s="8" t="s">
        <v>1431</v>
      </c>
      <c r="D66" s="33">
        <v>44356.0</v>
      </c>
    </row>
    <row r="67">
      <c r="A67" s="1" t="s">
        <v>36</v>
      </c>
      <c r="B67" s="8">
        <v>18.0</v>
      </c>
      <c r="C67" s="8"/>
      <c r="D67" s="33">
        <v>44374.0</v>
      </c>
    </row>
    <row r="68">
      <c r="A68" s="1" t="s">
        <v>41</v>
      </c>
      <c r="B68" s="8">
        <v>13.0</v>
      </c>
      <c r="C68" s="8"/>
      <c r="D68" s="33">
        <v>44374.0</v>
      </c>
    </row>
    <row r="69">
      <c r="A69" s="1" t="s">
        <v>56</v>
      </c>
      <c r="B69" s="8">
        <v>11.0</v>
      </c>
      <c r="C69" s="8"/>
      <c r="D69" s="33">
        <v>44356.0</v>
      </c>
    </row>
    <row r="70">
      <c r="A70" s="1" t="s">
        <v>47</v>
      </c>
      <c r="B70" s="8">
        <v>10.0</v>
      </c>
      <c r="C70" s="8" t="s">
        <v>875</v>
      </c>
      <c r="D70" s="33">
        <v>44362.0</v>
      </c>
    </row>
    <row r="71">
      <c r="A71" s="1" t="s">
        <v>36</v>
      </c>
      <c r="B71" s="8">
        <v>10.0</v>
      </c>
      <c r="C71" s="8" t="s">
        <v>1432</v>
      </c>
      <c r="D71" s="33">
        <v>44362.0</v>
      </c>
    </row>
    <row r="72">
      <c r="A72" s="1" t="s">
        <v>56</v>
      </c>
      <c r="B72" s="8">
        <v>10.0</v>
      </c>
      <c r="C72" s="8"/>
      <c r="D72" s="33">
        <v>44369.0</v>
      </c>
    </row>
    <row r="73">
      <c r="A73" s="1" t="s">
        <v>41</v>
      </c>
      <c r="B73" s="8">
        <v>9.0</v>
      </c>
      <c r="C73" s="8" t="s">
        <v>1433</v>
      </c>
      <c r="D73" s="35">
        <v>44348.0</v>
      </c>
    </row>
    <row r="74">
      <c r="A74" s="1" t="s">
        <v>41</v>
      </c>
      <c r="B74" s="8">
        <v>9.0</v>
      </c>
      <c r="C74" s="8"/>
      <c r="D74" s="33">
        <v>44361.0</v>
      </c>
    </row>
    <row r="75">
      <c r="A75" s="1" t="s">
        <v>41</v>
      </c>
      <c r="B75" s="8">
        <v>7.0</v>
      </c>
      <c r="C75" s="8" t="s">
        <v>1433</v>
      </c>
      <c r="D75" s="33">
        <v>44361.0</v>
      </c>
    </row>
    <row r="76">
      <c r="A76" s="1" t="s">
        <v>41</v>
      </c>
      <c r="B76" s="8">
        <v>6.0</v>
      </c>
      <c r="C76" s="8" t="s">
        <v>1434</v>
      </c>
      <c r="D76" s="33">
        <v>44354.0</v>
      </c>
    </row>
    <row r="77">
      <c r="A77" s="1" t="s">
        <v>36</v>
      </c>
      <c r="B77" s="8">
        <v>4.0</v>
      </c>
      <c r="C77" s="8" t="s">
        <v>1435</v>
      </c>
      <c r="D77" s="33">
        <v>44353.0</v>
      </c>
    </row>
    <row r="78">
      <c r="A78" s="1" t="s">
        <v>41</v>
      </c>
      <c r="B78" s="8">
        <v>3.0</v>
      </c>
      <c r="C78" s="8"/>
      <c r="D78" s="33">
        <v>44356.0</v>
      </c>
    </row>
    <row r="79">
      <c r="A79" s="1" t="s">
        <v>56</v>
      </c>
      <c r="B79" s="8">
        <v>46.0</v>
      </c>
      <c r="C79" s="8"/>
      <c r="D79" s="25"/>
    </row>
    <row r="80">
      <c r="A80" s="1" t="s">
        <v>307</v>
      </c>
      <c r="B80" s="8">
        <v>265.0</v>
      </c>
      <c r="C80" s="8"/>
      <c r="D80" s="25"/>
    </row>
    <row r="81">
      <c r="A81" s="1" t="s">
        <v>37</v>
      </c>
      <c r="B81" s="8">
        <v>134.0</v>
      </c>
      <c r="C81" s="8"/>
      <c r="D81" s="25"/>
    </row>
    <row r="82">
      <c r="A82" s="1" t="s">
        <v>58</v>
      </c>
      <c r="B82" s="8">
        <v>234.0</v>
      </c>
      <c r="C82" s="8"/>
      <c r="D82" s="25"/>
    </row>
    <row r="83">
      <c r="A83" s="1" t="s">
        <v>36</v>
      </c>
      <c r="B83" s="8">
        <v>55.0</v>
      </c>
      <c r="C83" s="8"/>
      <c r="D83" s="25"/>
    </row>
    <row r="84">
      <c r="A84" s="1" t="s">
        <v>42</v>
      </c>
      <c r="B84" s="8">
        <v>84.0</v>
      </c>
      <c r="C84" s="2"/>
      <c r="D84" s="25"/>
    </row>
    <row r="85">
      <c r="A85" s="1" t="s">
        <v>36</v>
      </c>
      <c r="B85" s="8">
        <v>80.0</v>
      </c>
      <c r="C85" s="2"/>
      <c r="D85" s="25"/>
    </row>
    <row r="86">
      <c r="A86" s="3"/>
      <c r="B86" s="8"/>
      <c r="C86" s="2"/>
      <c r="D86" s="25"/>
    </row>
    <row r="87">
      <c r="A87" s="3"/>
      <c r="B87" s="2"/>
      <c r="C87" s="2"/>
      <c r="D87" s="25"/>
    </row>
    <row r="88">
      <c r="A88" s="3"/>
      <c r="B88" s="2"/>
      <c r="C88" s="2"/>
      <c r="D88" s="25"/>
    </row>
    <row r="89">
      <c r="A89" s="3"/>
      <c r="B89" s="2"/>
      <c r="C89" s="2"/>
      <c r="D89" s="25"/>
    </row>
    <row r="90">
      <c r="A90" s="3"/>
      <c r="B90" s="2"/>
      <c r="C90" s="2"/>
      <c r="D90" s="25"/>
    </row>
    <row r="91">
      <c r="A91" s="3"/>
      <c r="B91" s="2"/>
      <c r="C91" s="2"/>
      <c r="D91" s="25"/>
    </row>
    <row r="92">
      <c r="A92" s="3"/>
      <c r="B92" s="2"/>
      <c r="C92" s="2"/>
      <c r="D92" s="25"/>
    </row>
    <row r="93">
      <c r="A93" s="3"/>
      <c r="B93" s="2"/>
      <c r="C93" s="2"/>
      <c r="D93" s="25"/>
    </row>
    <row r="94">
      <c r="A94" s="3"/>
      <c r="B94" s="2"/>
      <c r="C94" s="2"/>
      <c r="D94" s="25"/>
    </row>
    <row r="95">
      <c r="A95" s="3"/>
      <c r="B95" s="2"/>
      <c r="C95" s="2"/>
      <c r="D95" s="25"/>
    </row>
    <row r="96">
      <c r="A96" s="3"/>
      <c r="B96" s="2"/>
      <c r="C96" s="2"/>
      <c r="D96" s="25"/>
    </row>
    <row r="97">
      <c r="A97" s="3"/>
      <c r="B97" s="2"/>
      <c r="C97" s="2"/>
      <c r="D97" s="25"/>
    </row>
    <row r="98">
      <c r="A98" s="3"/>
      <c r="B98" s="2"/>
      <c r="C98" s="2"/>
      <c r="D98" s="25"/>
    </row>
    <row r="99">
      <c r="A99" s="3"/>
      <c r="B99" s="2"/>
      <c r="C99" s="2"/>
      <c r="D99" s="25"/>
    </row>
    <row r="100">
      <c r="A100" s="3"/>
      <c r="B100" s="2"/>
      <c r="C100" s="2"/>
      <c r="D100" s="25"/>
    </row>
    <row r="101">
      <c r="A101" s="3"/>
      <c r="B101" s="2"/>
      <c r="C101" s="2"/>
      <c r="D101" s="25"/>
    </row>
    <row r="102">
      <c r="A102" s="3"/>
      <c r="B102" s="2"/>
      <c r="C102" s="2"/>
      <c r="D102" s="25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DB56FE4D-69BC-4E44-A2B9-5F7BA227A86E}" filter="1" showAutoFilter="1">
      <autoFilter ref="$A$2:$D$86">
        <sortState ref="A2:D86">
          <sortCondition ref="D2:D86"/>
          <sortCondition ref="B2:B86"/>
        </sortState>
      </autoFilter>
    </customSheetView>
    <customSheetView guid="{E969E989-0C31-444B-8C15-CA7195A654B3}" filter="1" showAutoFilter="1">
      <autoFilter ref="$G$15"/>
    </customSheetView>
  </customSheetViews>
  <mergeCells count="2">
    <mergeCell ref="A1:B1"/>
    <mergeCell ref="E1:F1"/>
  </mergeCells>
  <conditionalFormatting sqref="D6:D102">
    <cfRule type="notContainsBlanks" dxfId="1" priority="1">
      <formula>LEN(TRIM(D6))&gt;0</formula>
    </cfRule>
  </conditionalFormatting>
  <dataValidations>
    <dataValidation type="list" allowBlank="1" sqref="A3:A102">
      <formula1>kategorie!$A$1:$A$50</formula1>
    </dataValidation>
    <dataValidation type="custom" allowBlank="1" showDropDown="1" sqref="D3:D100">
      <formula1>OR(NOT(ISERROR(DATEVALUE(D3))), AND(ISNUMBER(D3), LEFT(CELL("format", D3))="D"))</formula1>
    </dataValidation>
  </dataValidation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B1" s="1"/>
      <c r="C1" s="1"/>
      <c r="E1" s="1" t="s">
        <v>27</v>
      </c>
      <c r="H1" s="1" t="s">
        <v>28</v>
      </c>
      <c r="J1" s="1" t="s">
        <v>29</v>
      </c>
      <c r="K1" s="6">
        <f>SUM(J3:J1002)</f>
        <v>7478</v>
      </c>
    </row>
    <row r="2">
      <c r="B2" s="2"/>
      <c r="C2" s="2"/>
    </row>
    <row r="3">
      <c r="A3" s="1" t="s">
        <v>46</v>
      </c>
      <c r="B3" s="8">
        <v>3325.0</v>
      </c>
      <c r="C3" s="8"/>
      <c r="E3" s="1" t="s">
        <v>34</v>
      </c>
      <c r="F3" s="8">
        <v>20368.8</v>
      </c>
      <c r="H3" s="8">
        <f>Zbiorczy!D11</f>
        <v>55640.49</v>
      </c>
      <c r="J3" s="3">
        <f t="shared" ref="J3:J7" si="1">SUMIF($A$3:A$101, K3, B$3:B$101)</f>
        <v>1458</v>
      </c>
      <c r="K3" s="1" t="s">
        <v>35</v>
      </c>
      <c r="M3" s="3">
        <f t="shared" ref="M3:M8" si="2">SUMIF($A$3:A$101, N3, B$3:B$101)</f>
        <v>1266</v>
      </c>
      <c r="N3" s="1" t="s">
        <v>36</v>
      </c>
    </row>
    <row r="4">
      <c r="A4" s="1" t="s">
        <v>56</v>
      </c>
      <c r="B4" s="8">
        <v>3300.0</v>
      </c>
      <c r="C4" s="8"/>
      <c r="F4" s="8"/>
      <c r="J4" s="3">
        <f t="shared" si="1"/>
        <v>2192</v>
      </c>
      <c r="K4" s="1" t="s">
        <v>40</v>
      </c>
      <c r="M4" s="3">
        <f t="shared" si="2"/>
        <v>53</v>
      </c>
      <c r="N4" s="1" t="s">
        <v>41</v>
      </c>
    </row>
    <row r="5">
      <c r="A5" s="1" t="s">
        <v>40</v>
      </c>
      <c r="B5" s="8">
        <v>2192.0</v>
      </c>
      <c r="C5" s="8"/>
      <c r="J5" s="3">
        <f t="shared" si="1"/>
        <v>3325</v>
      </c>
      <c r="K5" s="1" t="s">
        <v>46</v>
      </c>
      <c r="M5" s="3">
        <f t="shared" si="2"/>
        <v>1621</v>
      </c>
      <c r="N5" s="1" t="s">
        <v>47</v>
      </c>
    </row>
    <row r="6">
      <c r="A6" s="1" t="s">
        <v>201</v>
      </c>
      <c r="B6" s="8">
        <v>1458.0</v>
      </c>
      <c r="C6" s="8"/>
      <c r="J6" s="3">
        <f t="shared" si="1"/>
        <v>503</v>
      </c>
      <c r="K6" s="1" t="s">
        <v>50</v>
      </c>
      <c r="M6" s="3">
        <f t="shared" si="2"/>
        <v>414</v>
      </c>
      <c r="N6" s="1" t="s">
        <v>51</v>
      </c>
    </row>
    <row r="7">
      <c r="A7" s="1" t="s">
        <v>56</v>
      </c>
      <c r="B7" s="8">
        <v>1100.0</v>
      </c>
      <c r="C7" s="8"/>
      <c r="J7" s="3">
        <f t="shared" si="1"/>
        <v>0</v>
      </c>
      <c r="K7" s="1" t="s">
        <v>55</v>
      </c>
      <c r="M7" s="3">
        <f t="shared" si="2"/>
        <v>7673</v>
      </c>
      <c r="N7" s="1" t="s">
        <v>56</v>
      </c>
    </row>
    <row r="8">
      <c r="A8" s="1" t="s">
        <v>47</v>
      </c>
      <c r="B8" s="8">
        <v>691.0</v>
      </c>
      <c r="C8" s="8"/>
      <c r="M8" s="3">
        <f t="shared" si="2"/>
        <v>1621</v>
      </c>
      <c r="N8" s="1" t="s">
        <v>47</v>
      </c>
    </row>
    <row r="9">
      <c r="A9" s="1" t="s">
        <v>56</v>
      </c>
      <c r="B9" s="8">
        <v>650.0</v>
      </c>
      <c r="C9" s="8"/>
    </row>
    <row r="10">
      <c r="A10" s="1" t="s">
        <v>56</v>
      </c>
      <c r="B10" s="8">
        <v>590.0</v>
      </c>
      <c r="C10" s="8"/>
    </row>
    <row r="11">
      <c r="A11" s="1" t="s">
        <v>56</v>
      </c>
      <c r="B11" s="8">
        <v>470.0</v>
      </c>
      <c r="C11" s="8"/>
    </row>
    <row r="12">
      <c r="A12" s="1" t="s">
        <v>47</v>
      </c>
      <c r="B12" s="8">
        <v>410.0</v>
      </c>
      <c r="C12" s="8"/>
    </row>
    <row r="13">
      <c r="A13" s="1" t="s">
        <v>47</v>
      </c>
      <c r="B13" s="8">
        <v>401.0</v>
      </c>
      <c r="C13" s="8"/>
    </row>
    <row r="14">
      <c r="A14" s="1" t="s">
        <v>56</v>
      </c>
      <c r="B14" s="8">
        <v>330.0</v>
      </c>
      <c r="C14" s="8"/>
    </row>
    <row r="15">
      <c r="A15" s="1" t="s">
        <v>56</v>
      </c>
      <c r="B15" s="8">
        <v>300.0</v>
      </c>
      <c r="C15" s="8"/>
    </row>
    <row r="16">
      <c r="A16" s="1" t="s">
        <v>58</v>
      </c>
      <c r="B16" s="8">
        <v>234.0</v>
      </c>
      <c r="C16" s="8"/>
    </row>
    <row r="17">
      <c r="A17" s="1" t="s">
        <v>50</v>
      </c>
      <c r="B17" s="8">
        <v>223.0</v>
      </c>
      <c r="C17" s="8"/>
    </row>
    <row r="18">
      <c r="A18" s="1" t="s">
        <v>50</v>
      </c>
      <c r="B18" s="8">
        <v>220.0</v>
      </c>
      <c r="C18" s="8"/>
    </row>
    <row r="19">
      <c r="A19" s="1" t="s">
        <v>56</v>
      </c>
      <c r="B19" s="8">
        <v>205.0</v>
      </c>
      <c r="C19" s="8"/>
    </row>
    <row r="20">
      <c r="A20" s="1" t="s">
        <v>51</v>
      </c>
      <c r="B20" s="8">
        <v>201.0</v>
      </c>
      <c r="C20" s="8"/>
    </row>
    <row r="21">
      <c r="A21" s="1" t="s">
        <v>36</v>
      </c>
      <c r="B21" s="8">
        <v>200.0</v>
      </c>
      <c r="C21" s="8"/>
    </row>
    <row r="22">
      <c r="A22" s="1" t="s">
        <v>148</v>
      </c>
      <c r="B22" s="8">
        <v>190.0</v>
      </c>
      <c r="C22" s="8"/>
    </row>
    <row r="23">
      <c r="A23" s="1" t="s">
        <v>73</v>
      </c>
      <c r="B23" s="8">
        <v>150.0</v>
      </c>
      <c r="C23" s="8"/>
    </row>
    <row r="24">
      <c r="A24" s="1" t="s">
        <v>36</v>
      </c>
      <c r="B24" s="8">
        <v>130.0</v>
      </c>
      <c r="C24" s="8"/>
    </row>
    <row r="25">
      <c r="A25" s="1" t="s">
        <v>51</v>
      </c>
      <c r="B25" s="8">
        <v>120.0</v>
      </c>
      <c r="C25" s="8"/>
    </row>
    <row r="26">
      <c r="A26" s="1" t="s">
        <v>42</v>
      </c>
      <c r="B26" s="8">
        <v>114.0</v>
      </c>
      <c r="C26" s="8"/>
    </row>
    <row r="27">
      <c r="A27" s="1" t="s">
        <v>56</v>
      </c>
      <c r="B27" s="8">
        <v>110.0</v>
      </c>
      <c r="C27" s="8"/>
    </row>
    <row r="28">
      <c r="A28" s="1" t="s">
        <v>47</v>
      </c>
      <c r="B28" s="8">
        <v>100.0</v>
      </c>
      <c r="C28" s="8"/>
    </row>
    <row r="29">
      <c r="A29" s="1" t="s">
        <v>842</v>
      </c>
      <c r="B29" s="8">
        <v>100.0</v>
      </c>
      <c r="C29" s="8"/>
    </row>
    <row r="30">
      <c r="A30" s="1" t="s">
        <v>36</v>
      </c>
      <c r="B30" s="8">
        <v>97.0</v>
      </c>
      <c r="C30" s="8"/>
    </row>
    <row r="31">
      <c r="A31" s="1" t="s">
        <v>51</v>
      </c>
      <c r="B31" s="8">
        <v>93.0</v>
      </c>
      <c r="C31" s="8"/>
    </row>
    <row r="32">
      <c r="A32" s="1" t="s">
        <v>36</v>
      </c>
      <c r="B32" s="8">
        <v>90.0</v>
      </c>
      <c r="C32" s="8"/>
    </row>
    <row r="33">
      <c r="A33" s="1" t="s">
        <v>56</v>
      </c>
      <c r="B33" s="8">
        <v>90.0</v>
      </c>
      <c r="C33" s="8"/>
    </row>
    <row r="34">
      <c r="A34" s="1" t="s">
        <v>56</v>
      </c>
      <c r="B34" s="30">
        <v>83.0</v>
      </c>
      <c r="C34" s="8"/>
    </row>
    <row r="35">
      <c r="A35" s="1" t="s">
        <v>36</v>
      </c>
      <c r="B35" s="8">
        <v>82.0</v>
      </c>
      <c r="C35" s="8"/>
    </row>
    <row r="36">
      <c r="A36" s="1" t="s">
        <v>73</v>
      </c>
      <c r="B36" s="8">
        <v>78.0</v>
      </c>
      <c r="C36" s="8"/>
    </row>
    <row r="37">
      <c r="A37" s="1" t="s">
        <v>36</v>
      </c>
      <c r="B37" s="8">
        <v>76.0</v>
      </c>
      <c r="C37" s="8"/>
    </row>
    <row r="38">
      <c r="A38" s="1" t="s">
        <v>36</v>
      </c>
      <c r="B38" s="8">
        <v>76.0</v>
      </c>
      <c r="C38" s="8"/>
    </row>
    <row r="39">
      <c r="A39" s="1" t="s">
        <v>56</v>
      </c>
      <c r="B39" s="8">
        <v>73.0</v>
      </c>
      <c r="C39" s="8"/>
    </row>
    <row r="40">
      <c r="A40" s="1" t="s">
        <v>56</v>
      </c>
      <c r="B40" s="8">
        <v>70.0</v>
      </c>
      <c r="C40" s="8"/>
    </row>
    <row r="41">
      <c r="A41" s="1" t="s">
        <v>56</v>
      </c>
      <c r="B41" s="8">
        <v>66.0</v>
      </c>
      <c r="C41" s="8"/>
    </row>
    <row r="42">
      <c r="A42" s="1" t="s">
        <v>36</v>
      </c>
      <c r="B42" s="8">
        <v>64.0</v>
      </c>
      <c r="C42" s="8"/>
    </row>
    <row r="43">
      <c r="A43" s="1" t="s">
        <v>50</v>
      </c>
      <c r="B43" s="8">
        <v>60.0</v>
      </c>
      <c r="C43" s="8"/>
    </row>
    <row r="44">
      <c r="A44" s="1" t="s">
        <v>36</v>
      </c>
      <c r="B44" s="8">
        <v>60.0</v>
      </c>
      <c r="C44" s="8"/>
    </row>
    <row r="45">
      <c r="A45" s="1" t="s">
        <v>36</v>
      </c>
      <c r="B45" s="8">
        <v>60.0</v>
      </c>
      <c r="C45" s="8"/>
    </row>
    <row r="46">
      <c r="A46" s="1" t="s">
        <v>56</v>
      </c>
      <c r="B46" s="8">
        <v>60.0</v>
      </c>
      <c r="C46" s="8"/>
    </row>
    <row r="47">
      <c r="A47" s="1" t="s">
        <v>36</v>
      </c>
      <c r="B47" s="8">
        <v>56.0</v>
      </c>
      <c r="C47" s="8"/>
    </row>
    <row r="48">
      <c r="A48" s="1" t="s">
        <v>36</v>
      </c>
      <c r="B48" s="8">
        <v>52.0</v>
      </c>
      <c r="C48" s="8"/>
    </row>
    <row r="49">
      <c r="A49" s="1" t="s">
        <v>36</v>
      </c>
      <c r="B49" s="8">
        <v>50.0</v>
      </c>
      <c r="C49" s="8"/>
    </row>
    <row r="50">
      <c r="A50" s="1" t="s">
        <v>56</v>
      </c>
      <c r="B50" s="8">
        <v>46.0</v>
      </c>
      <c r="C50" s="8"/>
    </row>
    <row r="51">
      <c r="A51" s="1" t="s">
        <v>36</v>
      </c>
      <c r="B51" s="8">
        <v>43.0</v>
      </c>
      <c r="C51" s="8"/>
    </row>
    <row r="52">
      <c r="A52" s="1" t="s">
        <v>36</v>
      </c>
      <c r="B52" s="8">
        <v>42.0</v>
      </c>
      <c r="C52" s="8"/>
    </row>
    <row r="53">
      <c r="A53" s="1" t="s">
        <v>56</v>
      </c>
      <c r="B53" s="8">
        <v>35.0</v>
      </c>
      <c r="C53" s="8"/>
    </row>
    <row r="54">
      <c r="A54" s="1" t="s">
        <v>56</v>
      </c>
      <c r="B54" s="8">
        <v>34.0</v>
      </c>
      <c r="C54" s="8"/>
    </row>
    <row r="55">
      <c r="A55" s="1" t="s">
        <v>148</v>
      </c>
      <c r="B55" s="8">
        <v>26.0</v>
      </c>
      <c r="C55" s="8"/>
    </row>
    <row r="56">
      <c r="A56" s="1" t="s">
        <v>148</v>
      </c>
      <c r="B56" s="8">
        <v>26.0</v>
      </c>
      <c r="C56" s="8"/>
    </row>
    <row r="57">
      <c r="A57" s="1" t="s">
        <v>36</v>
      </c>
      <c r="B57" s="8">
        <v>23.0</v>
      </c>
      <c r="C57" s="8"/>
    </row>
    <row r="58">
      <c r="A58" s="1" t="s">
        <v>56</v>
      </c>
      <c r="B58" s="8">
        <v>21.0</v>
      </c>
      <c r="C58" s="8"/>
    </row>
    <row r="59">
      <c r="A59" s="1" t="s">
        <v>41</v>
      </c>
      <c r="B59" s="8">
        <v>17.0</v>
      </c>
      <c r="C59" s="8"/>
    </row>
    <row r="60">
      <c r="A60" s="1" t="s">
        <v>56</v>
      </c>
      <c r="B60" s="8">
        <v>16.0</v>
      </c>
      <c r="C60" s="8"/>
    </row>
    <row r="61">
      <c r="A61" s="1" t="s">
        <v>36</v>
      </c>
      <c r="B61" s="1">
        <v>14.0</v>
      </c>
      <c r="C61" s="8"/>
    </row>
    <row r="62">
      <c r="A62" s="1" t="s">
        <v>36</v>
      </c>
      <c r="B62" s="8">
        <v>13.0</v>
      </c>
      <c r="C62" s="8"/>
    </row>
    <row r="63">
      <c r="A63" s="1" t="s">
        <v>41</v>
      </c>
      <c r="B63" s="8">
        <v>13.0</v>
      </c>
      <c r="C63" s="8"/>
    </row>
    <row r="64">
      <c r="A64" s="1" t="s">
        <v>36</v>
      </c>
      <c r="B64" s="8">
        <v>13.0</v>
      </c>
      <c r="C64" s="8"/>
    </row>
    <row r="65">
      <c r="A65" s="1" t="s">
        <v>36</v>
      </c>
      <c r="B65" s="8">
        <v>13.0</v>
      </c>
    </row>
    <row r="66">
      <c r="A66" s="1" t="s">
        <v>56</v>
      </c>
      <c r="B66" s="8">
        <v>12.0</v>
      </c>
      <c r="C66" s="8"/>
    </row>
    <row r="67">
      <c r="A67" s="1" t="s">
        <v>36</v>
      </c>
      <c r="B67" s="8">
        <v>12.0</v>
      </c>
      <c r="C67" s="8"/>
    </row>
    <row r="68">
      <c r="A68" s="1" t="s">
        <v>47</v>
      </c>
      <c r="B68" s="8">
        <v>10.0</v>
      </c>
      <c r="C68" s="8"/>
    </row>
    <row r="69">
      <c r="A69" s="1" t="s">
        <v>47</v>
      </c>
      <c r="B69" s="8">
        <v>9.0</v>
      </c>
      <c r="C69" s="8"/>
    </row>
    <row r="70">
      <c r="A70" s="1" t="s">
        <v>41</v>
      </c>
      <c r="B70" s="8">
        <v>8.0</v>
      </c>
      <c r="C70" s="8"/>
    </row>
    <row r="71">
      <c r="A71" s="1" t="s">
        <v>56</v>
      </c>
      <c r="B71" s="8">
        <v>8.0</v>
      </c>
      <c r="C71" s="8"/>
    </row>
    <row r="72">
      <c r="A72" s="1" t="s">
        <v>41</v>
      </c>
      <c r="B72" s="8">
        <v>7.0</v>
      </c>
      <c r="C72" s="8"/>
    </row>
    <row r="73">
      <c r="A73" s="1" t="s">
        <v>41</v>
      </c>
      <c r="B73" s="8">
        <v>5.0</v>
      </c>
      <c r="C73" s="8"/>
    </row>
    <row r="74">
      <c r="A74" s="1" t="s">
        <v>56</v>
      </c>
      <c r="B74" s="8">
        <v>4.0</v>
      </c>
      <c r="C74" s="8"/>
    </row>
    <row r="75">
      <c r="A75" s="1" t="s">
        <v>41</v>
      </c>
      <c r="B75" s="8">
        <v>3.0</v>
      </c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1">
    <mergeCell ref="E1:F1"/>
  </mergeCells>
  <dataValidations>
    <dataValidation type="list" allowBlank="1" sqref="A3:A102">
      <formula1>kategorie!$A$1:$A$50</formula1>
    </dataValidation>
  </dataValidation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8847</v>
      </c>
      <c r="M1" s="3">
        <f t="shared" ref="M1:M6" si="1">SUMIF($A$3:A$101, N1, B$3:B$101)</f>
        <v>1261</v>
      </c>
      <c r="N1" s="1" t="s">
        <v>36</v>
      </c>
    </row>
    <row r="2">
      <c r="B2" s="2"/>
      <c r="C2" s="2"/>
      <c r="M2" s="3">
        <f t="shared" si="1"/>
        <v>101.2</v>
      </c>
      <c r="N2" s="1" t="s">
        <v>41</v>
      </c>
    </row>
    <row r="3">
      <c r="A3" s="1" t="s">
        <v>50</v>
      </c>
      <c r="B3" s="8">
        <v>220.0</v>
      </c>
      <c r="C3" s="8"/>
      <c r="E3" s="1" t="s">
        <v>34</v>
      </c>
      <c r="F3" s="8">
        <v>21263.0</v>
      </c>
      <c r="H3" s="8">
        <f>Zbiorczy!D10</f>
        <v>48616.69</v>
      </c>
      <c r="J3" s="3">
        <f t="shared" ref="J3:J7" si="2">SUMIF($A$3:A$101, K3, B$3:B$101)</f>
        <v>1460</v>
      </c>
      <c r="K3" s="1" t="s">
        <v>35</v>
      </c>
      <c r="M3" s="3">
        <f t="shared" si="1"/>
        <v>2002</v>
      </c>
      <c r="N3" s="1" t="s">
        <v>47</v>
      </c>
    </row>
    <row r="4">
      <c r="A4" s="1" t="s">
        <v>36</v>
      </c>
      <c r="B4" s="8">
        <v>145.0</v>
      </c>
      <c r="C4" s="8"/>
      <c r="E4" s="1" t="s">
        <v>56</v>
      </c>
      <c r="F4" s="8">
        <v>40.0</v>
      </c>
      <c r="J4" s="3">
        <f t="shared" si="2"/>
        <v>2231</v>
      </c>
      <c r="K4" s="1" t="s">
        <v>40</v>
      </c>
      <c r="M4" s="3">
        <f t="shared" si="1"/>
        <v>248</v>
      </c>
      <c r="N4" s="1" t="s">
        <v>51</v>
      </c>
    </row>
    <row r="5">
      <c r="A5" s="1" t="s">
        <v>47</v>
      </c>
      <c r="B5" s="8">
        <v>100.0</v>
      </c>
      <c r="C5" s="8"/>
      <c r="J5" s="3">
        <f t="shared" si="2"/>
        <v>3636</v>
      </c>
      <c r="K5" s="1" t="s">
        <v>46</v>
      </c>
      <c r="M5" s="3">
        <f t="shared" si="1"/>
        <v>666</v>
      </c>
      <c r="N5" s="1" t="s">
        <v>56</v>
      </c>
    </row>
    <row r="6">
      <c r="A6" s="1" t="s">
        <v>224</v>
      </c>
      <c r="B6" s="8">
        <v>230.0</v>
      </c>
      <c r="C6" s="8"/>
      <c r="J6" s="3">
        <f t="shared" si="2"/>
        <v>1356</v>
      </c>
      <c r="K6" s="1" t="s">
        <v>50</v>
      </c>
      <c r="M6" s="3">
        <f t="shared" si="1"/>
        <v>2002</v>
      </c>
      <c r="N6" s="1" t="s">
        <v>47</v>
      </c>
    </row>
    <row r="7">
      <c r="A7" s="1" t="s">
        <v>36</v>
      </c>
      <c r="B7" s="8">
        <v>85.0</v>
      </c>
      <c r="C7" s="8"/>
      <c r="J7" s="3">
        <f t="shared" si="2"/>
        <v>164</v>
      </c>
      <c r="K7" s="1" t="s">
        <v>55</v>
      </c>
    </row>
    <row r="8">
      <c r="A8" s="1" t="s">
        <v>201</v>
      </c>
      <c r="B8" s="8">
        <v>1460.0</v>
      </c>
      <c r="C8" s="8"/>
    </row>
    <row r="9">
      <c r="A9" s="1" t="s">
        <v>47</v>
      </c>
      <c r="B9" s="8">
        <v>65.0</v>
      </c>
      <c r="C9" s="8"/>
    </row>
    <row r="10">
      <c r="A10" s="1" t="s">
        <v>41</v>
      </c>
      <c r="B10" s="8">
        <v>3.2</v>
      </c>
      <c r="C10" s="8"/>
    </row>
    <row r="11">
      <c r="A11" s="1" t="s">
        <v>47</v>
      </c>
      <c r="B11" s="8">
        <v>363.0</v>
      </c>
      <c r="C11" s="8"/>
    </row>
    <row r="12">
      <c r="A12" s="1" t="s">
        <v>36</v>
      </c>
      <c r="B12" s="8">
        <v>70.0</v>
      </c>
      <c r="C12" s="8"/>
    </row>
    <row r="13">
      <c r="A13" s="1" t="s">
        <v>36</v>
      </c>
      <c r="B13" s="8">
        <v>50.0</v>
      </c>
      <c r="C13" s="8"/>
    </row>
    <row r="14">
      <c r="A14" s="1" t="s">
        <v>36</v>
      </c>
      <c r="B14" s="8">
        <v>205.0</v>
      </c>
      <c r="C14" s="8"/>
    </row>
    <row r="15">
      <c r="A15" s="1" t="s">
        <v>73</v>
      </c>
      <c r="B15" s="8">
        <v>150.0</v>
      </c>
      <c r="C15" s="8"/>
    </row>
    <row r="16">
      <c r="A16" s="1" t="s">
        <v>148</v>
      </c>
      <c r="B16" s="8">
        <v>235.0</v>
      </c>
      <c r="C16" s="8"/>
    </row>
    <row r="17">
      <c r="A17" s="1" t="s">
        <v>56</v>
      </c>
      <c r="B17" s="8">
        <v>30.0</v>
      </c>
      <c r="C17" s="8"/>
    </row>
    <row r="18">
      <c r="A18" s="1" t="s">
        <v>56</v>
      </c>
      <c r="B18" s="8">
        <v>123.0</v>
      </c>
      <c r="C18" s="8"/>
    </row>
    <row r="19">
      <c r="A19" s="1" t="s">
        <v>56</v>
      </c>
      <c r="B19" s="8">
        <v>120.0</v>
      </c>
      <c r="C19" s="8"/>
    </row>
    <row r="20">
      <c r="A20" s="1" t="s">
        <v>47</v>
      </c>
      <c r="B20" s="8">
        <v>14.0</v>
      </c>
      <c r="C20" s="8"/>
    </row>
    <row r="21">
      <c r="A21" s="1" t="s">
        <v>41</v>
      </c>
      <c r="B21" s="30">
        <v>8.0</v>
      </c>
      <c r="C21" s="8"/>
    </row>
    <row r="22">
      <c r="A22" s="1" t="s">
        <v>36</v>
      </c>
      <c r="B22" s="8">
        <v>46.0</v>
      </c>
      <c r="C22" s="8"/>
    </row>
    <row r="23">
      <c r="A23" s="1" t="s">
        <v>307</v>
      </c>
      <c r="B23" s="8">
        <v>121.0</v>
      </c>
      <c r="C23" s="8"/>
    </row>
    <row r="24">
      <c r="A24" s="1" t="s">
        <v>40</v>
      </c>
      <c r="B24" s="8">
        <v>2231.0</v>
      </c>
      <c r="C24" s="8"/>
    </row>
    <row r="25">
      <c r="A25" s="1" t="s">
        <v>46</v>
      </c>
      <c r="B25" s="8">
        <v>3636.0</v>
      </c>
      <c r="C25" s="8"/>
    </row>
    <row r="26">
      <c r="A26" s="1" t="s">
        <v>55</v>
      </c>
      <c r="B26" s="8">
        <v>164.0</v>
      </c>
      <c r="C26" s="8"/>
    </row>
    <row r="27">
      <c r="A27" s="1" t="s">
        <v>47</v>
      </c>
      <c r="B27" s="8">
        <v>1190.0</v>
      </c>
      <c r="C27" s="8"/>
    </row>
    <row r="28">
      <c r="A28" s="1" t="s">
        <v>36</v>
      </c>
      <c r="B28" s="8">
        <v>30.0</v>
      </c>
      <c r="C28" s="8"/>
    </row>
    <row r="29">
      <c r="A29" s="1" t="s">
        <v>148</v>
      </c>
      <c r="B29" s="8">
        <v>60.0</v>
      </c>
      <c r="C29" s="8"/>
    </row>
    <row r="30">
      <c r="A30" s="1" t="s">
        <v>56</v>
      </c>
      <c r="B30" s="8">
        <v>35.0</v>
      </c>
      <c r="C30" s="8"/>
    </row>
    <row r="31">
      <c r="A31" s="1" t="s">
        <v>56</v>
      </c>
      <c r="B31" s="8">
        <v>25.0</v>
      </c>
      <c r="C31" s="8"/>
    </row>
    <row r="32">
      <c r="A32" s="1" t="s">
        <v>56</v>
      </c>
      <c r="B32" s="8">
        <v>77.0</v>
      </c>
      <c r="C32" s="8"/>
    </row>
    <row r="33">
      <c r="A33" s="1" t="s">
        <v>41</v>
      </c>
      <c r="B33" s="8">
        <v>17.0</v>
      </c>
      <c r="C33" s="8"/>
    </row>
    <row r="34">
      <c r="A34" s="1" t="s">
        <v>41</v>
      </c>
      <c r="B34" s="8">
        <v>11.0</v>
      </c>
      <c r="C34" s="8"/>
    </row>
    <row r="35">
      <c r="A35" s="1" t="s">
        <v>36</v>
      </c>
      <c r="B35" s="8">
        <v>166.0</v>
      </c>
      <c r="C35" s="8"/>
    </row>
    <row r="36">
      <c r="A36" s="1" t="s">
        <v>36</v>
      </c>
      <c r="B36" s="8">
        <v>70.0</v>
      </c>
      <c r="C36" s="8"/>
    </row>
    <row r="37">
      <c r="A37" s="1" t="s">
        <v>42</v>
      </c>
      <c r="B37" s="8">
        <v>154.0</v>
      </c>
      <c r="C37" s="8"/>
    </row>
    <row r="38">
      <c r="A38" s="1" t="s">
        <v>41</v>
      </c>
      <c r="B38" s="8">
        <v>30.0</v>
      </c>
      <c r="C38" s="8"/>
    </row>
    <row r="39">
      <c r="A39" s="1" t="s">
        <v>56</v>
      </c>
      <c r="B39" s="8">
        <v>122.0</v>
      </c>
      <c r="C39" s="8"/>
    </row>
    <row r="40">
      <c r="A40" s="1" t="s">
        <v>56</v>
      </c>
      <c r="B40" s="8">
        <v>50.0</v>
      </c>
      <c r="C40" s="8"/>
    </row>
    <row r="41">
      <c r="A41" s="1" t="s">
        <v>36</v>
      </c>
      <c r="B41" s="8">
        <v>56.0</v>
      </c>
      <c r="C41" s="8"/>
    </row>
    <row r="42">
      <c r="A42" s="1" t="s">
        <v>56</v>
      </c>
      <c r="B42" s="8">
        <v>50.0</v>
      </c>
      <c r="C42" s="8"/>
    </row>
    <row r="43">
      <c r="A43" s="1" t="s">
        <v>36</v>
      </c>
      <c r="B43" s="8">
        <v>61.0</v>
      </c>
      <c r="C43" s="8"/>
    </row>
    <row r="44">
      <c r="A44" s="1" t="s">
        <v>842</v>
      </c>
      <c r="B44" s="8">
        <v>200.0</v>
      </c>
      <c r="C44" s="8"/>
    </row>
    <row r="45">
      <c r="A45" s="1" t="s">
        <v>47</v>
      </c>
      <c r="B45" s="8">
        <v>250.0</v>
      </c>
      <c r="C45" s="8"/>
    </row>
    <row r="46">
      <c r="A46" s="1" t="s">
        <v>36</v>
      </c>
      <c r="B46" s="8">
        <v>13.0</v>
      </c>
      <c r="C46" s="8"/>
    </row>
    <row r="47">
      <c r="A47" s="1" t="s">
        <v>36</v>
      </c>
      <c r="B47" s="8">
        <v>25.0</v>
      </c>
      <c r="C47" s="8"/>
    </row>
    <row r="48">
      <c r="A48" s="1" t="s">
        <v>36</v>
      </c>
      <c r="B48" s="8">
        <v>13.0</v>
      </c>
      <c r="C48" s="8"/>
    </row>
    <row r="49">
      <c r="A49" s="1" t="s">
        <v>47</v>
      </c>
      <c r="B49" s="8">
        <v>20.0</v>
      </c>
      <c r="C49" s="8"/>
    </row>
    <row r="50">
      <c r="A50" s="1" t="s">
        <v>51</v>
      </c>
      <c r="B50" s="8">
        <v>73.0</v>
      </c>
      <c r="C50" s="8"/>
    </row>
    <row r="51">
      <c r="A51" s="1" t="s">
        <v>51</v>
      </c>
      <c r="B51" s="8">
        <v>175.0</v>
      </c>
      <c r="C51" s="8"/>
    </row>
    <row r="52">
      <c r="A52" s="1" t="s">
        <v>56</v>
      </c>
      <c r="B52" s="8">
        <v>12.0</v>
      </c>
      <c r="C52" s="8"/>
    </row>
    <row r="53">
      <c r="A53" s="1" t="s">
        <v>41</v>
      </c>
      <c r="B53" s="8">
        <v>10.0</v>
      </c>
      <c r="C53" s="8"/>
    </row>
    <row r="54">
      <c r="A54" s="1" t="s">
        <v>58</v>
      </c>
      <c r="B54" s="8">
        <v>4.0</v>
      </c>
      <c r="C54" s="8"/>
    </row>
    <row r="55">
      <c r="A55" s="1" t="s">
        <v>50</v>
      </c>
      <c r="B55" s="8">
        <v>786.0</v>
      </c>
      <c r="C55" s="8"/>
    </row>
    <row r="56">
      <c r="A56" s="1" t="s">
        <v>36</v>
      </c>
      <c r="B56" s="8">
        <v>64.0</v>
      </c>
      <c r="C56" s="8"/>
    </row>
    <row r="57">
      <c r="A57" s="1" t="s">
        <v>56</v>
      </c>
      <c r="B57" s="8">
        <v>22.0</v>
      </c>
      <c r="C57" s="8"/>
    </row>
    <row r="58">
      <c r="A58" s="1" t="s">
        <v>50</v>
      </c>
      <c r="B58" s="8">
        <v>100.0</v>
      </c>
      <c r="C58" s="8"/>
    </row>
    <row r="59">
      <c r="A59" s="1" t="s">
        <v>50</v>
      </c>
      <c r="B59" s="8">
        <v>250.0</v>
      </c>
      <c r="C59" s="8"/>
    </row>
    <row r="60">
      <c r="A60" s="1" t="s">
        <v>36</v>
      </c>
      <c r="B60" s="8">
        <v>31.0</v>
      </c>
      <c r="C60" s="8"/>
    </row>
    <row r="61">
      <c r="A61" s="1" t="s">
        <v>41</v>
      </c>
      <c r="B61" s="8">
        <v>8.0</v>
      </c>
      <c r="C61" s="8"/>
    </row>
    <row r="62">
      <c r="A62" s="1" t="s">
        <v>36</v>
      </c>
      <c r="B62" s="8">
        <v>124.0</v>
      </c>
      <c r="C62" s="8"/>
    </row>
    <row r="63">
      <c r="A63" s="1" t="s">
        <v>36</v>
      </c>
      <c r="B63" s="8">
        <v>7.0</v>
      </c>
      <c r="C63" s="8"/>
    </row>
    <row r="64">
      <c r="A64" s="1" t="s">
        <v>41</v>
      </c>
      <c r="B64" s="8">
        <v>14.0</v>
      </c>
      <c r="C64" s="8"/>
    </row>
    <row r="65">
      <c r="A65" s="3"/>
    </row>
    <row r="66">
      <c r="A66" s="3"/>
      <c r="B66" s="8"/>
      <c r="C66" s="8"/>
    </row>
    <row r="67">
      <c r="A67" s="3"/>
      <c r="B67" s="8"/>
      <c r="C67" s="8"/>
    </row>
    <row r="68">
      <c r="A68" s="3"/>
      <c r="B68" s="8"/>
      <c r="C68" s="8"/>
    </row>
    <row r="69">
      <c r="A69" s="3"/>
      <c r="B69" s="8"/>
      <c r="C69" s="8"/>
    </row>
    <row r="70">
      <c r="A70" s="3"/>
      <c r="B70" s="8"/>
      <c r="C70" s="8"/>
    </row>
    <row r="71">
      <c r="A71" s="3"/>
      <c r="B71" s="8"/>
      <c r="C71" s="8"/>
    </row>
    <row r="72">
      <c r="A72" s="3"/>
      <c r="B72" s="8"/>
      <c r="C72" s="8"/>
    </row>
    <row r="73">
      <c r="A73" s="3"/>
      <c r="B73" s="8"/>
      <c r="C73" s="8"/>
    </row>
    <row r="74">
      <c r="A74" s="3"/>
      <c r="B74" s="8"/>
      <c r="C74" s="8"/>
    </row>
    <row r="75">
      <c r="A75" s="3"/>
      <c r="B75" s="8"/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:A102">
      <formula1>kategorie!$A$1:$A$50</formula1>
    </dataValidation>
  </dataValidation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6234</v>
      </c>
    </row>
    <row r="2">
      <c r="B2" s="2"/>
      <c r="C2" s="2"/>
    </row>
    <row r="3">
      <c r="A3" s="1" t="s">
        <v>50</v>
      </c>
      <c r="B3" s="8">
        <v>191.0</v>
      </c>
      <c r="C3" s="8"/>
      <c r="E3" s="1" t="s">
        <v>34</v>
      </c>
      <c r="F3" s="8">
        <v>16050.52</v>
      </c>
      <c r="H3" s="8">
        <f>Zbiorczy!D9</f>
        <v>44680.17</v>
      </c>
      <c r="J3" s="3">
        <f t="shared" ref="J3:J7" si="1">SUMIF($A$3:A$101, K3, B$3:B$101)</f>
        <v>1458</v>
      </c>
      <c r="K3" s="1" t="s">
        <v>35</v>
      </c>
    </row>
    <row r="4">
      <c r="A4" s="1" t="s">
        <v>41</v>
      </c>
      <c r="B4" s="8">
        <v>12.0</v>
      </c>
      <c r="C4" s="8"/>
      <c r="F4" s="8"/>
      <c r="J4" s="3">
        <f t="shared" si="1"/>
        <v>1282</v>
      </c>
      <c r="K4" s="1" t="s">
        <v>40</v>
      </c>
    </row>
    <row r="5">
      <c r="A5" s="1" t="s">
        <v>224</v>
      </c>
      <c r="B5" s="8">
        <v>228.0</v>
      </c>
      <c r="C5" s="8"/>
      <c r="J5" s="3">
        <f t="shared" si="1"/>
        <v>2148</v>
      </c>
      <c r="K5" s="1" t="s">
        <v>46</v>
      </c>
    </row>
    <row r="6">
      <c r="A6" s="1" t="s">
        <v>201</v>
      </c>
      <c r="B6" s="8">
        <v>1458.0</v>
      </c>
      <c r="C6" s="8"/>
      <c r="J6" s="3">
        <f t="shared" si="1"/>
        <v>1346</v>
      </c>
      <c r="K6" s="1" t="s">
        <v>50</v>
      </c>
    </row>
    <row r="7">
      <c r="A7" s="1" t="s">
        <v>36</v>
      </c>
      <c r="B7" s="8">
        <v>7.0</v>
      </c>
      <c r="C7" s="8"/>
      <c r="J7" s="3">
        <f t="shared" si="1"/>
        <v>0</v>
      </c>
      <c r="K7" s="1" t="s">
        <v>55</v>
      </c>
    </row>
    <row r="8">
      <c r="A8" s="1" t="s">
        <v>56</v>
      </c>
      <c r="B8" s="8">
        <v>37.0</v>
      </c>
      <c r="C8" s="8"/>
    </row>
    <row r="9">
      <c r="A9" s="1" t="s">
        <v>224</v>
      </c>
      <c r="B9" s="8">
        <v>229.0</v>
      </c>
      <c r="C9" s="8"/>
    </row>
    <row r="10">
      <c r="A10" s="1" t="s">
        <v>47</v>
      </c>
      <c r="B10" s="8">
        <v>10.0</v>
      </c>
      <c r="C10" s="8"/>
      <c r="M10" s="3">
        <f>SUMIF($A$3:A$101, N10, B$3:B$101)</f>
        <v>1776</v>
      </c>
      <c r="N10" s="1" t="s">
        <v>47</v>
      </c>
    </row>
    <row r="11">
      <c r="A11" s="1" t="s">
        <v>36</v>
      </c>
      <c r="B11" s="8">
        <v>40.0</v>
      </c>
      <c r="C11" s="8"/>
    </row>
    <row r="12">
      <c r="A12" s="1" t="s">
        <v>47</v>
      </c>
      <c r="B12" s="8">
        <v>10.0</v>
      </c>
      <c r="C12" s="8"/>
    </row>
    <row r="13">
      <c r="A13" s="1" t="s">
        <v>51</v>
      </c>
      <c r="B13" s="8">
        <v>200.0</v>
      </c>
      <c r="C13" s="8"/>
    </row>
    <row r="14">
      <c r="A14" s="1" t="s">
        <v>80</v>
      </c>
      <c r="B14" s="8">
        <v>52.0</v>
      </c>
      <c r="C14" s="8"/>
    </row>
    <row r="15">
      <c r="A15" s="1" t="s">
        <v>36</v>
      </c>
      <c r="B15" s="8">
        <v>46.0</v>
      </c>
      <c r="C15" s="8"/>
    </row>
    <row r="16">
      <c r="A16" s="1" t="s">
        <v>36</v>
      </c>
      <c r="B16" s="8">
        <v>18.0</v>
      </c>
      <c r="C16" s="8"/>
    </row>
    <row r="17">
      <c r="A17" s="1" t="s">
        <v>36</v>
      </c>
      <c r="B17" s="8">
        <v>11.0</v>
      </c>
      <c r="C17" s="8"/>
    </row>
    <row r="18">
      <c r="A18" s="1" t="s">
        <v>51</v>
      </c>
      <c r="B18" s="8">
        <v>60.0</v>
      </c>
      <c r="C18" s="8"/>
    </row>
    <row r="19">
      <c r="A19" s="1" t="s">
        <v>50</v>
      </c>
      <c r="B19" s="8">
        <v>230.0</v>
      </c>
      <c r="C19" s="8"/>
    </row>
    <row r="20">
      <c r="A20" s="1" t="s">
        <v>40</v>
      </c>
      <c r="B20" s="8">
        <v>1282.0</v>
      </c>
      <c r="C20" s="8"/>
    </row>
    <row r="21">
      <c r="A21" s="1" t="s">
        <v>46</v>
      </c>
      <c r="B21" s="30">
        <v>2148.0</v>
      </c>
      <c r="C21" s="8"/>
    </row>
    <row r="22">
      <c r="A22" s="1" t="s">
        <v>56</v>
      </c>
      <c r="B22" s="8">
        <v>10.0</v>
      </c>
      <c r="C22" s="8"/>
    </row>
    <row r="23">
      <c r="A23" s="1" t="s">
        <v>224</v>
      </c>
      <c r="B23" s="8">
        <v>230.0</v>
      </c>
      <c r="C23" s="8"/>
    </row>
    <row r="24">
      <c r="A24" s="1" t="s">
        <v>36</v>
      </c>
      <c r="B24" s="8">
        <v>57.0</v>
      </c>
      <c r="C24" s="8"/>
    </row>
    <row r="25">
      <c r="A25" s="1" t="s">
        <v>73</v>
      </c>
      <c r="B25" s="8">
        <v>200.0</v>
      </c>
      <c r="C25" s="8"/>
    </row>
    <row r="26">
      <c r="A26" s="1" t="s">
        <v>80</v>
      </c>
      <c r="B26" s="8">
        <v>15.0</v>
      </c>
      <c r="C26" s="8"/>
    </row>
    <row r="27">
      <c r="A27" s="1" t="s">
        <v>51</v>
      </c>
      <c r="B27" s="8">
        <v>190.0</v>
      </c>
      <c r="C27" s="8"/>
    </row>
    <row r="28">
      <c r="A28" s="1" t="s">
        <v>56</v>
      </c>
      <c r="B28" s="8">
        <v>73.0</v>
      </c>
      <c r="C28" s="8"/>
    </row>
    <row r="29">
      <c r="A29" s="1" t="s">
        <v>41</v>
      </c>
      <c r="B29" s="8">
        <v>13.0</v>
      </c>
      <c r="C29" s="8"/>
    </row>
    <row r="30">
      <c r="A30" s="1" t="s">
        <v>36</v>
      </c>
      <c r="B30" s="8">
        <v>29.0</v>
      </c>
      <c r="C30" s="8"/>
    </row>
    <row r="31">
      <c r="A31" s="1" t="s">
        <v>36</v>
      </c>
      <c r="B31" s="8">
        <v>100.0</v>
      </c>
      <c r="C31" s="8"/>
    </row>
    <row r="32">
      <c r="A32" s="1" t="s">
        <v>36</v>
      </c>
      <c r="B32" s="8">
        <v>17.0</v>
      </c>
      <c r="C32" s="8"/>
    </row>
    <row r="33">
      <c r="A33" s="1" t="s">
        <v>56</v>
      </c>
      <c r="B33" s="8">
        <v>170.0</v>
      </c>
      <c r="C33" s="8"/>
    </row>
    <row r="34">
      <c r="A34" s="1" t="s">
        <v>36</v>
      </c>
      <c r="B34" s="8">
        <v>49.0</v>
      </c>
      <c r="C34" s="8"/>
    </row>
    <row r="35">
      <c r="A35" s="1" t="s">
        <v>56</v>
      </c>
      <c r="B35" s="8">
        <v>76.0</v>
      </c>
      <c r="C35" s="8"/>
    </row>
    <row r="36">
      <c r="A36" s="1" t="s">
        <v>36</v>
      </c>
      <c r="B36" s="8">
        <v>63.0</v>
      </c>
      <c r="C36" s="8"/>
    </row>
    <row r="37">
      <c r="A37" s="1" t="s">
        <v>36</v>
      </c>
      <c r="B37" s="8">
        <v>30.0</v>
      </c>
      <c r="C37" s="8"/>
    </row>
    <row r="38">
      <c r="A38" s="1" t="s">
        <v>47</v>
      </c>
      <c r="B38" s="8">
        <v>1080.0</v>
      </c>
      <c r="C38" s="8"/>
    </row>
    <row r="39">
      <c r="A39" s="1" t="s">
        <v>47</v>
      </c>
      <c r="B39" s="8">
        <v>306.0</v>
      </c>
      <c r="C39" s="8"/>
    </row>
    <row r="40">
      <c r="A40" s="1" t="s">
        <v>36</v>
      </c>
      <c r="B40" s="8">
        <v>37.0</v>
      </c>
      <c r="C40" s="8"/>
    </row>
    <row r="41">
      <c r="A41" s="1" t="s">
        <v>56</v>
      </c>
      <c r="B41" s="8">
        <v>69.0</v>
      </c>
      <c r="C41" s="8"/>
    </row>
    <row r="42">
      <c r="A42" s="1" t="s">
        <v>36</v>
      </c>
      <c r="B42" s="8">
        <v>78.0</v>
      </c>
      <c r="C42" s="8"/>
    </row>
    <row r="43">
      <c r="A43" s="1" t="s">
        <v>56</v>
      </c>
      <c r="B43" s="8">
        <v>28.0</v>
      </c>
      <c r="C43" s="8"/>
    </row>
    <row r="44">
      <c r="A44" s="1" t="s">
        <v>36</v>
      </c>
      <c r="B44" s="8">
        <v>24.0</v>
      </c>
      <c r="C44" s="8"/>
    </row>
    <row r="45">
      <c r="A45" s="1" t="s">
        <v>47</v>
      </c>
      <c r="B45" s="8">
        <v>170.0</v>
      </c>
      <c r="C45" s="8"/>
    </row>
    <row r="46">
      <c r="A46" s="1" t="s">
        <v>37</v>
      </c>
      <c r="B46" s="8">
        <v>10.0</v>
      </c>
      <c r="C46" s="8"/>
    </row>
    <row r="47">
      <c r="A47" s="1" t="s">
        <v>148</v>
      </c>
      <c r="B47" s="8">
        <v>60.0</v>
      </c>
      <c r="C47" s="8"/>
    </row>
    <row r="48">
      <c r="A48" s="1" t="s">
        <v>73</v>
      </c>
      <c r="B48" s="8">
        <v>150.0</v>
      </c>
      <c r="C48" s="8"/>
    </row>
    <row r="49">
      <c r="A49" s="1" t="s">
        <v>56</v>
      </c>
      <c r="B49" s="8">
        <v>46.0</v>
      </c>
      <c r="C49" s="8"/>
    </row>
    <row r="50">
      <c r="A50" s="1" t="s">
        <v>148</v>
      </c>
      <c r="B50" s="8">
        <v>137.0</v>
      </c>
      <c r="C50" s="8"/>
    </row>
    <row r="51">
      <c r="A51" s="1" t="s">
        <v>56</v>
      </c>
      <c r="B51" s="8">
        <v>110.0</v>
      </c>
      <c r="C51" s="8"/>
    </row>
    <row r="52">
      <c r="A52" s="1" t="s">
        <v>36</v>
      </c>
      <c r="B52" s="8">
        <v>49.0</v>
      </c>
      <c r="C52" s="8"/>
    </row>
    <row r="53">
      <c r="A53" s="1" t="s">
        <v>47</v>
      </c>
      <c r="B53" s="8">
        <v>130.0</v>
      </c>
      <c r="C53" s="8"/>
    </row>
    <row r="54">
      <c r="A54" s="1" t="s">
        <v>307</v>
      </c>
      <c r="B54" s="8">
        <v>230.0</v>
      </c>
      <c r="C54" s="8"/>
    </row>
    <row r="55">
      <c r="A55" s="1" t="s">
        <v>58</v>
      </c>
      <c r="B55" s="8">
        <v>4.0</v>
      </c>
      <c r="C55" s="8"/>
    </row>
    <row r="56">
      <c r="A56" s="1" t="s">
        <v>56</v>
      </c>
      <c r="B56" s="8">
        <v>18.0</v>
      </c>
      <c r="C56" s="8"/>
    </row>
    <row r="57">
      <c r="A57" s="1" t="s">
        <v>56</v>
      </c>
      <c r="B57" s="8">
        <v>60.0</v>
      </c>
      <c r="C57" s="8"/>
    </row>
    <row r="58">
      <c r="A58" s="1" t="s">
        <v>58</v>
      </c>
      <c r="B58" s="8">
        <v>30.0</v>
      </c>
      <c r="C58" s="8"/>
    </row>
    <row r="59">
      <c r="A59" s="1" t="s">
        <v>36</v>
      </c>
      <c r="B59" s="8">
        <v>220.0</v>
      </c>
      <c r="C59" s="8"/>
    </row>
    <row r="60">
      <c r="A60" s="1" t="s">
        <v>47</v>
      </c>
      <c r="B60" s="8">
        <v>12.0</v>
      </c>
      <c r="C60" s="8"/>
    </row>
    <row r="61">
      <c r="A61" s="1" t="s">
        <v>50</v>
      </c>
      <c r="B61" s="8">
        <v>925.0</v>
      </c>
      <c r="C61" s="8"/>
    </row>
    <row r="62">
      <c r="A62" s="1" t="s">
        <v>47</v>
      </c>
      <c r="B62" s="8">
        <v>58.0</v>
      </c>
      <c r="C62" s="8"/>
    </row>
    <row r="63">
      <c r="A63" s="1" t="s">
        <v>56</v>
      </c>
      <c r="B63" s="8">
        <v>99.0</v>
      </c>
      <c r="C63" s="8"/>
    </row>
    <row r="64">
      <c r="A64" s="1" t="s">
        <v>41</v>
      </c>
      <c r="B64" s="8">
        <v>15.0</v>
      </c>
      <c r="C64" s="8"/>
    </row>
    <row r="65">
      <c r="A65" s="1" t="s">
        <v>36</v>
      </c>
      <c r="B65" s="1">
        <v>15.0</v>
      </c>
    </row>
    <row r="66">
      <c r="A66" s="1" t="s">
        <v>58</v>
      </c>
      <c r="B66" s="8">
        <v>234.0</v>
      </c>
      <c r="C66" s="8"/>
    </row>
    <row r="67">
      <c r="A67" s="1" t="s">
        <v>41</v>
      </c>
      <c r="B67" s="8">
        <v>6.0</v>
      </c>
      <c r="C67" s="8"/>
    </row>
    <row r="68">
      <c r="A68" s="1" t="s">
        <v>56</v>
      </c>
      <c r="B68" s="8">
        <v>100.0</v>
      </c>
      <c r="C68" s="8"/>
    </row>
    <row r="69">
      <c r="A69" s="1" t="s">
        <v>41</v>
      </c>
      <c r="B69" s="8">
        <v>13.0</v>
      </c>
      <c r="C69" s="8"/>
    </row>
    <row r="70">
      <c r="A70" s="3"/>
      <c r="B70" s="8"/>
      <c r="C70" s="8"/>
    </row>
    <row r="71">
      <c r="A71" s="3"/>
      <c r="B71" s="8"/>
      <c r="C71" s="8"/>
    </row>
    <row r="72">
      <c r="A72" s="3"/>
      <c r="B72" s="8"/>
      <c r="C72" s="8"/>
    </row>
    <row r="73">
      <c r="A73" s="3"/>
      <c r="B73" s="8"/>
      <c r="C73" s="8"/>
    </row>
    <row r="74">
      <c r="A74" s="3"/>
      <c r="B74" s="8"/>
      <c r="C74" s="8"/>
    </row>
    <row r="75">
      <c r="A75" s="3"/>
      <c r="B75" s="8"/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:A102">
      <formula1>kategorie!$A$1:$A$50</formula1>
    </dataValidation>
  </dataValidation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5970</v>
      </c>
    </row>
    <row r="2">
      <c r="B2" s="2"/>
      <c r="C2" s="2"/>
    </row>
    <row r="3">
      <c r="A3" s="1" t="s">
        <v>50</v>
      </c>
      <c r="B3" s="8">
        <v>220.0</v>
      </c>
      <c r="C3" s="8"/>
      <c r="E3" s="1" t="s">
        <v>34</v>
      </c>
      <c r="F3" s="8">
        <v>16038.41</v>
      </c>
      <c r="H3" s="8">
        <f>Zbiorczy!D8</f>
        <v>42558.76</v>
      </c>
      <c r="J3" s="3">
        <f t="shared" ref="J3:J7" si="1">SUMIF($A$3:A$101, K3, B$3:B$101)</f>
        <v>648</v>
      </c>
      <c r="K3" s="1" t="s">
        <v>35</v>
      </c>
    </row>
    <row r="4">
      <c r="A4" s="1" t="s">
        <v>50</v>
      </c>
      <c r="B4" s="8">
        <v>20.0</v>
      </c>
      <c r="C4" s="8"/>
      <c r="F4" s="8"/>
      <c r="J4" s="3">
        <f t="shared" si="1"/>
        <v>1949</v>
      </c>
      <c r="K4" s="1" t="s">
        <v>40</v>
      </c>
    </row>
    <row r="5">
      <c r="A5" s="1" t="s">
        <v>842</v>
      </c>
      <c r="B5" s="8">
        <v>80.0</v>
      </c>
      <c r="C5" s="8"/>
      <c r="J5" s="3">
        <f t="shared" si="1"/>
        <v>2922</v>
      </c>
      <c r="K5" s="1" t="s">
        <v>46</v>
      </c>
    </row>
    <row r="6">
      <c r="A6" s="1" t="s">
        <v>56</v>
      </c>
      <c r="B6" s="8">
        <v>37.0</v>
      </c>
      <c r="C6" s="8"/>
      <c r="J6" s="3">
        <f t="shared" si="1"/>
        <v>287</v>
      </c>
      <c r="K6" s="1" t="s">
        <v>50</v>
      </c>
    </row>
    <row r="7">
      <c r="A7" s="1" t="s">
        <v>36</v>
      </c>
      <c r="B7" s="8">
        <v>107.0</v>
      </c>
      <c r="C7" s="8"/>
      <c r="J7" s="3">
        <f t="shared" si="1"/>
        <v>164</v>
      </c>
      <c r="K7" s="1" t="s">
        <v>55</v>
      </c>
    </row>
    <row r="8">
      <c r="A8" s="1" t="s">
        <v>47</v>
      </c>
      <c r="B8" s="8">
        <v>115.0</v>
      </c>
      <c r="C8" s="8"/>
      <c r="M8" s="3">
        <f t="shared" ref="M8:M12" si="2">SUMIF($A$3:A$101, N8, B$3:B$101)</f>
        <v>888</v>
      </c>
      <c r="N8" s="1" t="s">
        <v>36</v>
      </c>
    </row>
    <row r="9">
      <c r="A9" s="1" t="s">
        <v>41</v>
      </c>
      <c r="B9" s="8">
        <v>13.0</v>
      </c>
      <c r="C9" s="8"/>
      <c r="M9" s="3">
        <f t="shared" si="2"/>
        <v>189</v>
      </c>
      <c r="N9" s="1" t="s">
        <v>1172</v>
      </c>
    </row>
    <row r="10">
      <c r="A10" s="1" t="s">
        <v>56</v>
      </c>
      <c r="B10" s="8">
        <v>95.0</v>
      </c>
      <c r="C10" s="8"/>
      <c r="M10" s="3">
        <f t="shared" si="2"/>
        <v>5492</v>
      </c>
      <c r="N10" s="1" t="s">
        <v>56</v>
      </c>
    </row>
    <row r="11">
      <c r="A11" s="1" t="s">
        <v>56</v>
      </c>
      <c r="B11" s="8">
        <v>100.0</v>
      </c>
      <c r="C11" s="8"/>
      <c r="M11" s="3">
        <f t="shared" si="2"/>
        <v>297</v>
      </c>
      <c r="N11" s="1" t="s">
        <v>51</v>
      </c>
    </row>
    <row r="12">
      <c r="A12" s="1" t="s">
        <v>36</v>
      </c>
      <c r="B12" s="8">
        <v>78.0</v>
      </c>
      <c r="C12" s="8"/>
      <c r="M12" s="3">
        <f t="shared" si="2"/>
        <v>125</v>
      </c>
      <c r="N12" s="1" t="s">
        <v>47</v>
      </c>
    </row>
    <row r="13">
      <c r="A13" s="1" t="s">
        <v>1172</v>
      </c>
      <c r="B13" s="8">
        <v>25.0</v>
      </c>
      <c r="C13" s="8"/>
    </row>
    <row r="14">
      <c r="A14" s="1" t="s">
        <v>56</v>
      </c>
      <c r="B14" s="8">
        <v>500.0</v>
      </c>
      <c r="C14" s="8" t="s">
        <v>1389</v>
      </c>
    </row>
    <row r="15">
      <c r="A15" s="1" t="s">
        <v>842</v>
      </c>
      <c r="B15" s="8">
        <v>100.0</v>
      </c>
      <c r="C15" s="8"/>
    </row>
    <row r="16">
      <c r="A16" s="1" t="s">
        <v>36</v>
      </c>
      <c r="B16" s="8">
        <v>72.0</v>
      </c>
      <c r="C16" s="8"/>
    </row>
    <row r="17">
      <c r="A17" s="1" t="s">
        <v>56</v>
      </c>
      <c r="B17" s="8">
        <v>79.0</v>
      </c>
      <c r="C17" s="8"/>
    </row>
    <row r="18">
      <c r="A18" s="1" t="s">
        <v>50</v>
      </c>
      <c r="B18" s="8">
        <v>47.0</v>
      </c>
      <c r="C18" s="8"/>
    </row>
    <row r="19">
      <c r="A19" s="1" t="s">
        <v>36</v>
      </c>
      <c r="B19" s="8">
        <v>25.0</v>
      </c>
      <c r="C19" s="8"/>
    </row>
    <row r="20">
      <c r="A20" s="1" t="s">
        <v>36</v>
      </c>
      <c r="B20" s="8">
        <v>73.0</v>
      </c>
      <c r="C20" s="8"/>
    </row>
    <row r="21">
      <c r="A21" s="1" t="s">
        <v>36</v>
      </c>
      <c r="B21" s="8">
        <v>75.0</v>
      </c>
      <c r="C21" s="8"/>
    </row>
    <row r="22">
      <c r="A22" s="1" t="s">
        <v>41</v>
      </c>
      <c r="B22" s="8">
        <v>8.0</v>
      </c>
      <c r="C22" s="8"/>
    </row>
    <row r="23">
      <c r="A23" s="1" t="s">
        <v>41</v>
      </c>
      <c r="B23" s="8">
        <v>11.0</v>
      </c>
      <c r="C23" s="8"/>
    </row>
    <row r="24">
      <c r="A24" s="1" t="s">
        <v>1172</v>
      </c>
      <c r="B24" s="8">
        <v>164.0</v>
      </c>
      <c r="C24" s="8"/>
    </row>
    <row r="25">
      <c r="A25" s="1" t="s">
        <v>56</v>
      </c>
      <c r="B25" s="8">
        <v>37.0</v>
      </c>
      <c r="C25" s="8"/>
    </row>
    <row r="26">
      <c r="A26" s="1" t="s">
        <v>842</v>
      </c>
      <c r="B26" s="8">
        <v>75.0</v>
      </c>
      <c r="C26" s="8"/>
    </row>
    <row r="27">
      <c r="A27" s="1" t="s">
        <v>56</v>
      </c>
      <c r="B27" s="8">
        <v>18.0</v>
      </c>
      <c r="C27" s="8"/>
    </row>
    <row r="28">
      <c r="A28" s="1" t="s">
        <v>55</v>
      </c>
      <c r="B28" s="8">
        <v>164.0</v>
      </c>
      <c r="C28" s="8"/>
    </row>
    <row r="29">
      <c r="A29" s="1" t="s">
        <v>36</v>
      </c>
      <c r="B29" s="8">
        <v>15.0</v>
      </c>
      <c r="C29" s="8"/>
    </row>
    <row r="30">
      <c r="A30" s="1" t="s">
        <v>40</v>
      </c>
      <c r="B30" s="8">
        <v>1949.0</v>
      </c>
      <c r="C30" s="8"/>
    </row>
    <row r="31">
      <c r="A31" s="1" t="s">
        <v>46</v>
      </c>
      <c r="B31" s="8">
        <v>2922.0</v>
      </c>
      <c r="C31" s="8"/>
    </row>
    <row r="32">
      <c r="A32" s="1" t="s">
        <v>201</v>
      </c>
      <c r="B32" s="8">
        <v>648.0</v>
      </c>
      <c r="C32" s="8"/>
    </row>
    <row r="33">
      <c r="A33" s="1" t="s">
        <v>36</v>
      </c>
      <c r="B33" s="8">
        <v>15.0</v>
      </c>
      <c r="C33" s="8"/>
    </row>
    <row r="34">
      <c r="A34" s="1" t="s">
        <v>36</v>
      </c>
      <c r="B34" s="8">
        <v>48.0</v>
      </c>
      <c r="C34" s="8"/>
    </row>
    <row r="35">
      <c r="A35" s="1" t="s">
        <v>41</v>
      </c>
      <c r="B35" s="8">
        <v>9.0</v>
      </c>
      <c r="C35" s="8"/>
    </row>
    <row r="36">
      <c r="A36" s="1" t="s">
        <v>51</v>
      </c>
      <c r="B36" s="8">
        <v>88.0</v>
      </c>
      <c r="C36" s="8"/>
    </row>
    <row r="37">
      <c r="A37" s="1" t="s">
        <v>47</v>
      </c>
      <c r="B37" s="8">
        <v>10.0</v>
      </c>
      <c r="C37" s="8"/>
    </row>
    <row r="38">
      <c r="A38" s="1" t="s">
        <v>56</v>
      </c>
      <c r="B38" s="8">
        <v>110.0</v>
      </c>
      <c r="C38" s="8"/>
    </row>
    <row r="39">
      <c r="A39" s="1" t="s">
        <v>41</v>
      </c>
      <c r="B39" s="8">
        <v>6.0</v>
      </c>
      <c r="C39" s="8"/>
    </row>
    <row r="40">
      <c r="A40" s="1" t="s">
        <v>36</v>
      </c>
      <c r="B40" s="8">
        <v>94.0</v>
      </c>
      <c r="C40" s="8"/>
    </row>
    <row r="41">
      <c r="A41" s="1" t="s">
        <v>36</v>
      </c>
      <c r="B41" s="8">
        <v>70.0</v>
      </c>
      <c r="C41" s="8"/>
    </row>
    <row r="42">
      <c r="A42" s="1" t="s">
        <v>56</v>
      </c>
      <c r="B42" s="8">
        <v>25.0</v>
      </c>
      <c r="C42" s="8"/>
    </row>
    <row r="43">
      <c r="A43" s="1" t="s">
        <v>56</v>
      </c>
      <c r="B43" s="8">
        <v>65.0</v>
      </c>
      <c r="C43" s="8"/>
    </row>
    <row r="44">
      <c r="A44" s="1" t="s">
        <v>36</v>
      </c>
      <c r="B44" s="8">
        <v>130.0</v>
      </c>
      <c r="C44" s="8"/>
    </row>
    <row r="45">
      <c r="A45" s="1" t="s">
        <v>148</v>
      </c>
      <c r="B45" s="8">
        <v>60.0</v>
      </c>
      <c r="C45" s="8"/>
    </row>
    <row r="46">
      <c r="A46" s="1" t="s">
        <v>56</v>
      </c>
      <c r="B46" s="8">
        <v>37.0</v>
      </c>
      <c r="C46" s="8"/>
    </row>
    <row r="47">
      <c r="A47" s="1" t="s">
        <v>73</v>
      </c>
      <c r="B47" s="8">
        <v>150.0</v>
      </c>
      <c r="C47" s="8"/>
    </row>
    <row r="48">
      <c r="A48" s="1" t="s">
        <v>56</v>
      </c>
      <c r="B48" s="8">
        <v>4250.0</v>
      </c>
      <c r="C48" s="8"/>
    </row>
    <row r="49">
      <c r="A49" s="1" t="s">
        <v>51</v>
      </c>
      <c r="B49" s="8">
        <v>99.0</v>
      </c>
      <c r="C49" s="8"/>
    </row>
    <row r="50">
      <c r="A50" s="1" t="s">
        <v>56</v>
      </c>
      <c r="B50" s="8">
        <v>49.0</v>
      </c>
      <c r="C50" s="8"/>
    </row>
    <row r="51">
      <c r="A51" s="1" t="s">
        <v>58</v>
      </c>
      <c r="B51" s="8">
        <v>234.0</v>
      </c>
      <c r="C51" s="8"/>
    </row>
    <row r="52">
      <c r="A52" s="1" t="s">
        <v>36</v>
      </c>
      <c r="B52" s="8">
        <v>86.0</v>
      </c>
      <c r="C52" s="8"/>
    </row>
    <row r="53">
      <c r="A53" s="1" t="s">
        <v>41</v>
      </c>
      <c r="B53" s="8">
        <v>5.0</v>
      </c>
      <c r="C53" s="8"/>
    </row>
    <row r="54">
      <c r="A54" s="1" t="s">
        <v>51</v>
      </c>
      <c r="B54" s="8">
        <v>110.0</v>
      </c>
      <c r="C54" s="8"/>
    </row>
    <row r="55">
      <c r="A55" s="1" t="s">
        <v>42</v>
      </c>
      <c r="B55" s="8">
        <v>180.0</v>
      </c>
      <c r="C55" s="8"/>
    </row>
    <row r="56">
      <c r="A56" s="1" t="s">
        <v>56</v>
      </c>
      <c r="B56" s="8">
        <v>90.0</v>
      </c>
      <c r="C56" s="8"/>
    </row>
    <row r="57">
      <c r="A57" s="1" t="s">
        <v>73</v>
      </c>
      <c r="B57" s="8">
        <v>25.0</v>
      </c>
      <c r="C57" s="8"/>
    </row>
    <row r="58">
      <c r="A58" s="3"/>
      <c r="B58" s="8"/>
      <c r="C58" s="8"/>
    </row>
    <row r="59">
      <c r="A59" s="3"/>
      <c r="B59" s="8"/>
      <c r="C59" s="8"/>
    </row>
    <row r="60">
      <c r="A60" s="3"/>
      <c r="B60" s="8"/>
      <c r="C60" s="8"/>
    </row>
    <row r="61">
      <c r="A61" s="3"/>
      <c r="B61" s="8"/>
      <c r="C61" s="8"/>
    </row>
    <row r="62">
      <c r="A62" s="3"/>
      <c r="B62" s="8"/>
      <c r="C62" s="8"/>
    </row>
    <row r="63">
      <c r="A63" s="3"/>
      <c r="B63" s="8"/>
      <c r="C63" s="8"/>
    </row>
    <row r="64">
      <c r="A64" s="3"/>
      <c r="B64" s="8"/>
      <c r="C64" s="8"/>
    </row>
    <row r="65">
      <c r="A65" s="3"/>
    </row>
    <row r="66">
      <c r="A66" s="3"/>
      <c r="B66" s="8"/>
      <c r="C66" s="8"/>
    </row>
    <row r="67">
      <c r="A67" s="3"/>
      <c r="B67" s="8"/>
      <c r="C67" s="8"/>
    </row>
    <row r="68">
      <c r="A68" s="3"/>
      <c r="B68" s="8"/>
      <c r="C68" s="8"/>
    </row>
    <row r="69">
      <c r="A69" s="3"/>
      <c r="B69" s="8"/>
      <c r="C69" s="8"/>
    </row>
    <row r="70">
      <c r="A70" s="3"/>
      <c r="B70" s="8"/>
      <c r="C70" s="8"/>
    </row>
    <row r="71">
      <c r="A71" s="3"/>
      <c r="B71" s="8"/>
      <c r="C71" s="8"/>
    </row>
    <row r="72">
      <c r="A72" s="3"/>
      <c r="B72" s="8"/>
      <c r="C72" s="8"/>
    </row>
    <row r="73">
      <c r="A73" s="3"/>
      <c r="B73" s="8"/>
      <c r="C73" s="8"/>
    </row>
    <row r="74">
      <c r="A74" s="3"/>
      <c r="B74" s="8"/>
      <c r="C74" s="8"/>
    </row>
    <row r="75">
      <c r="A75" s="3"/>
      <c r="B75" s="8"/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:A102">
      <formula1>kategorie!$A$1:$A$50</formula1>
    </dataValidation>
  </dataValidation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6548</v>
      </c>
    </row>
    <row r="2">
      <c r="B2" s="2"/>
      <c r="C2" s="2"/>
    </row>
    <row r="3">
      <c r="A3" s="1" t="s">
        <v>36</v>
      </c>
      <c r="B3" s="8">
        <v>105.0</v>
      </c>
      <c r="C3" s="8"/>
      <c r="E3" s="1" t="s">
        <v>34</v>
      </c>
      <c r="F3" s="8">
        <v>16873.14</v>
      </c>
      <c r="H3" s="8">
        <f>Zbiorczy!D7</f>
        <v>35947.62</v>
      </c>
      <c r="J3" s="3">
        <f t="shared" ref="J3:J7" si="1">SUMIF($A$3:A$101, K3, B$3:B$101)</f>
        <v>609</v>
      </c>
      <c r="K3" s="1" t="s">
        <v>35</v>
      </c>
    </row>
    <row r="4">
      <c r="A4" s="1" t="s">
        <v>50</v>
      </c>
      <c r="B4" s="8">
        <v>220.0</v>
      </c>
      <c r="C4" s="8"/>
      <c r="F4" s="8"/>
      <c r="J4" s="3">
        <f t="shared" si="1"/>
        <v>2549</v>
      </c>
      <c r="K4" s="1" t="s">
        <v>40</v>
      </c>
    </row>
    <row r="5">
      <c r="A5" s="1" t="s">
        <v>80</v>
      </c>
      <c r="B5" s="8">
        <v>31.0</v>
      </c>
      <c r="C5" s="8"/>
      <c r="J5" s="3">
        <f t="shared" si="1"/>
        <v>2245</v>
      </c>
      <c r="K5" s="1" t="s">
        <v>46</v>
      </c>
    </row>
    <row r="6">
      <c r="A6" s="1" t="s">
        <v>56</v>
      </c>
      <c r="B6" s="8">
        <v>32.0</v>
      </c>
      <c r="C6" s="8"/>
      <c r="J6" s="3">
        <f t="shared" si="1"/>
        <v>982</v>
      </c>
      <c r="K6" s="1" t="s">
        <v>50</v>
      </c>
    </row>
    <row r="7">
      <c r="A7" s="1" t="s">
        <v>50</v>
      </c>
      <c r="B7" s="8">
        <v>40.0</v>
      </c>
      <c r="C7" s="8"/>
      <c r="J7" s="3">
        <f t="shared" si="1"/>
        <v>163</v>
      </c>
      <c r="K7" s="1" t="s">
        <v>55</v>
      </c>
      <c r="M7" s="3">
        <f>SUMIF($A$3:A$101, N7, B$3:B$101)</f>
        <v>0</v>
      </c>
      <c r="N7" s="1" t="s">
        <v>47</v>
      </c>
    </row>
    <row r="8">
      <c r="A8" s="1" t="s">
        <v>41</v>
      </c>
      <c r="B8" s="8">
        <v>8.0</v>
      </c>
      <c r="C8" s="8"/>
    </row>
    <row r="9">
      <c r="A9" s="1" t="s">
        <v>56</v>
      </c>
      <c r="B9" s="8">
        <v>253.0</v>
      </c>
      <c r="C9" s="8"/>
    </row>
    <row r="10">
      <c r="A10" s="1" t="s">
        <v>201</v>
      </c>
      <c r="B10" s="8">
        <v>609.0</v>
      </c>
      <c r="C10" s="8"/>
    </row>
    <row r="11">
      <c r="A11" s="1" t="s">
        <v>36</v>
      </c>
      <c r="B11" s="8">
        <v>90.0</v>
      </c>
      <c r="C11" s="8"/>
    </row>
    <row r="12">
      <c r="A12" s="1" t="s">
        <v>51</v>
      </c>
      <c r="B12" s="8">
        <v>132.0</v>
      </c>
      <c r="C12" s="8"/>
    </row>
    <row r="13">
      <c r="A13" s="1" t="s">
        <v>1172</v>
      </c>
      <c r="B13" s="8">
        <v>31.0</v>
      </c>
      <c r="C13" s="8"/>
    </row>
    <row r="14">
      <c r="A14" s="1" t="s">
        <v>50</v>
      </c>
      <c r="B14" s="8">
        <v>600.0</v>
      </c>
      <c r="C14" s="8"/>
    </row>
    <row r="15">
      <c r="A15" s="1" t="s">
        <v>56</v>
      </c>
      <c r="B15" s="8">
        <v>60.0</v>
      </c>
      <c r="C15" s="8"/>
    </row>
    <row r="16">
      <c r="A16" s="1" t="s">
        <v>56</v>
      </c>
      <c r="B16" s="8">
        <v>40.0</v>
      </c>
      <c r="C16" s="8"/>
    </row>
    <row r="17">
      <c r="A17" s="1" t="s">
        <v>36</v>
      </c>
      <c r="B17" s="8">
        <v>45.0</v>
      </c>
      <c r="C17" s="8"/>
    </row>
    <row r="18">
      <c r="A18" s="1" t="s">
        <v>56</v>
      </c>
      <c r="B18" s="8">
        <v>30.0</v>
      </c>
      <c r="C18" s="8"/>
    </row>
    <row r="19">
      <c r="A19" s="1" t="s">
        <v>842</v>
      </c>
      <c r="B19" s="8">
        <v>100.0</v>
      </c>
      <c r="C19" s="8"/>
    </row>
    <row r="20">
      <c r="A20" s="1" t="s">
        <v>56</v>
      </c>
      <c r="B20" s="8">
        <v>120.0</v>
      </c>
      <c r="C20" s="8"/>
    </row>
    <row r="21">
      <c r="A21" s="1" t="s">
        <v>36</v>
      </c>
      <c r="B21" s="8">
        <v>57.0</v>
      </c>
      <c r="C21" s="8"/>
    </row>
    <row r="22">
      <c r="A22" s="1" t="s">
        <v>41</v>
      </c>
      <c r="B22" s="8">
        <v>10.0</v>
      </c>
      <c r="C22" s="8"/>
    </row>
    <row r="23">
      <c r="A23" s="1" t="s">
        <v>40</v>
      </c>
      <c r="B23" s="8">
        <v>2549.0</v>
      </c>
      <c r="C23" s="8"/>
    </row>
    <row r="24">
      <c r="A24" s="1" t="s">
        <v>46</v>
      </c>
      <c r="B24" s="8">
        <v>2245.0</v>
      </c>
      <c r="C24" s="8"/>
    </row>
    <row r="25">
      <c r="A25" s="1" t="s">
        <v>50</v>
      </c>
      <c r="B25" s="8">
        <v>122.0</v>
      </c>
      <c r="C25" s="8"/>
    </row>
    <row r="26">
      <c r="A26" s="1" t="s">
        <v>36</v>
      </c>
      <c r="B26" s="8">
        <v>47.0</v>
      </c>
      <c r="C26" s="8"/>
    </row>
    <row r="27">
      <c r="A27" s="1" t="s">
        <v>36</v>
      </c>
      <c r="B27" s="8">
        <v>33.0</v>
      </c>
      <c r="C27" s="8"/>
    </row>
    <row r="28">
      <c r="A28" s="1" t="s">
        <v>42</v>
      </c>
      <c r="B28" s="8">
        <v>44.0</v>
      </c>
      <c r="C28" s="8"/>
    </row>
    <row r="29">
      <c r="A29" s="1" t="s">
        <v>36</v>
      </c>
      <c r="B29" s="8">
        <v>5.0</v>
      </c>
      <c r="C29" s="8"/>
    </row>
    <row r="30">
      <c r="A30" s="1" t="s">
        <v>36</v>
      </c>
      <c r="B30" s="8">
        <v>64.0</v>
      </c>
      <c r="C30" s="8"/>
    </row>
    <row r="31">
      <c r="A31" s="1" t="s">
        <v>56</v>
      </c>
      <c r="B31" s="8">
        <v>75.0</v>
      </c>
      <c r="C31" s="8"/>
    </row>
    <row r="32">
      <c r="A32" s="1" t="s">
        <v>41</v>
      </c>
      <c r="B32" s="8">
        <v>13.0</v>
      </c>
      <c r="C32" s="8"/>
    </row>
    <row r="33">
      <c r="A33" s="1" t="s">
        <v>36</v>
      </c>
      <c r="B33" s="8">
        <v>80.0</v>
      </c>
      <c r="C33" s="8"/>
    </row>
    <row r="34">
      <c r="A34" s="1" t="s">
        <v>73</v>
      </c>
      <c r="B34" s="8">
        <v>150.0</v>
      </c>
      <c r="C34" s="8"/>
    </row>
    <row r="35">
      <c r="A35" s="1" t="s">
        <v>41</v>
      </c>
      <c r="B35" s="8">
        <v>6.0</v>
      </c>
      <c r="C35" s="8"/>
    </row>
    <row r="36">
      <c r="A36" s="1" t="s">
        <v>36</v>
      </c>
      <c r="B36" s="8">
        <v>52.0</v>
      </c>
      <c r="C36" s="8"/>
    </row>
    <row r="37">
      <c r="A37" s="1" t="s">
        <v>41</v>
      </c>
      <c r="B37" s="8">
        <v>3.0</v>
      </c>
      <c r="C37" s="8"/>
    </row>
    <row r="38">
      <c r="A38" s="1" t="s">
        <v>56</v>
      </c>
      <c r="B38" s="8">
        <v>310.0</v>
      </c>
      <c r="C38" s="8"/>
    </row>
    <row r="39">
      <c r="A39" s="1" t="s">
        <v>36</v>
      </c>
      <c r="B39" s="8">
        <v>88.0</v>
      </c>
      <c r="C39" s="8"/>
    </row>
    <row r="40">
      <c r="A40" s="1" t="s">
        <v>36</v>
      </c>
      <c r="B40" s="8">
        <v>60.0</v>
      </c>
      <c r="C40" s="8"/>
    </row>
    <row r="41">
      <c r="A41" s="1" t="s">
        <v>56</v>
      </c>
      <c r="B41" s="8">
        <v>140.0</v>
      </c>
      <c r="C41" s="8"/>
    </row>
    <row r="42">
      <c r="A42" s="1" t="s">
        <v>36</v>
      </c>
      <c r="B42" s="8">
        <v>76.0</v>
      </c>
      <c r="C42" s="8"/>
    </row>
    <row r="43">
      <c r="A43" s="1" t="s">
        <v>36</v>
      </c>
      <c r="B43" s="8">
        <v>12.0</v>
      </c>
      <c r="C43" s="8"/>
    </row>
    <row r="44">
      <c r="A44" s="1" t="s">
        <v>42</v>
      </c>
      <c r="B44" s="8">
        <v>150.0</v>
      </c>
      <c r="C44" s="8"/>
    </row>
    <row r="45">
      <c r="A45" s="1" t="s">
        <v>36</v>
      </c>
      <c r="B45" s="8">
        <v>23.0</v>
      </c>
      <c r="C45" s="8"/>
    </row>
    <row r="46">
      <c r="A46" s="1" t="s">
        <v>307</v>
      </c>
      <c r="B46" s="8">
        <v>185.0</v>
      </c>
      <c r="C46" s="8"/>
    </row>
    <row r="47">
      <c r="A47" s="1" t="s">
        <v>73</v>
      </c>
      <c r="B47" s="8">
        <v>150.0</v>
      </c>
      <c r="C47" s="8"/>
    </row>
    <row r="48">
      <c r="A48" s="1" t="s">
        <v>56</v>
      </c>
      <c r="B48" s="8">
        <v>90.0</v>
      </c>
      <c r="C48" s="8"/>
    </row>
    <row r="49">
      <c r="A49" s="1" t="s">
        <v>41</v>
      </c>
      <c r="B49" s="8">
        <v>6.0</v>
      </c>
      <c r="C49" s="8"/>
    </row>
    <row r="50">
      <c r="A50" s="1" t="s">
        <v>55</v>
      </c>
      <c r="B50" s="8">
        <v>163.0</v>
      </c>
      <c r="C50" s="8"/>
    </row>
    <row r="51">
      <c r="A51" s="1" t="s">
        <v>58</v>
      </c>
      <c r="B51" s="8">
        <v>234.0</v>
      </c>
      <c r="C51" s="8"/>
    </row>
    <row r="52">
      <c r="A52" s="1" t="s">
        <v>36</v>
      </c>
      <c r="B52" s="8">
        <v>58.0</v>
      </c>
      <c r="C52" s="8"/>
    </row>
    <row r="53">
      <c r="A53" s="1" t="s">
        <v>56</v>
      </c>
      <c r="B53" s="8">
        <v>97.0</v>
      </c>
      <c r="C53" s="8"/>
    </row>
    <row r="54">
      <c r="A54" s="1" t="s">
        <v>41</v>
      </c>
      <c r="B54" s="8">
        <v>10.0</v>
      </c>
      <c r="C54" s="8"/>
    </row>
    <row r="55">
      <c r="A55" s="1" t="s">
        <v>1172</v>
      </c>
      <c r="B55" s="8">
        <v>109.0</v>
      </c>
      <c r="C55" s="8"/>
    </row>
    <row r="56">
      <c r="A56" s="1" t="s">
        <v>41</v>
      </c>
      <c r="B56" s="8">
        <v>8.0</v>
      </c>
      <c r="C56" s="8"/>
    </row>
    <row r="57">
      <c r="A57" s="1" t="s">
        <v>41</v>
      </c>
      <c r="B57" s="8">
        <v>12.0</v>
      </c>
      <c r="C57" s="8"/>
    </row>
    <row r="58">
      <c r="A58" s="1" t="s">
        <v>51</v>
      </c>
      <c r="B58" s="8">
        <v>180.0</v>
      </c>
      <c r="C58" s="8"/>
    </row>
    <row r="59">
      <c r="A59" s="3"/>
      <c r="B59" s="8"/>
      <c r="C59" s="8"/>
    </row>
    <row r="60">
      <c r="A60" s="3"/>
      <c r="B60" s="8"/>
      <c r="C60" s="8"/>
    </row>
    <row r="61">
      <c r="A61" s="3"/>
      <c r="B61" s="8"/>
      <c r="C61" s="8"/>
    </row>
    <row r="62">
      <c r="A62" s="3"/>
      <c r="B62" s="8"/>
      <c r="C62" s="8"/>
    </row>
    <row r="63">
      <c r="A63" s="3"/>
      <c r="B63" s="8"/>
      <c r="C63" s="8"/>
    </row>
    <row r="64">
      <c r="A64" s="3"/>
      <c r="B64" s="8"/>
      <c r="C64" s="8"/>
    </row>
    <row r="65">
      <c r="A65" s="3"/>
    </row>
    <row r="66">
      <c r="A66" s="3"/>
      <c r="B66" s="8"/>
      <c r="C66" s="8"/>
    </row>
    <row r="67">
      <c r="A67" s="3"/>
      <c r="B67" s="8"/>
      <c r="C67" s="8"/>
    </row>
    <row r="68">
      <c r="A68" s="3"/>
      <c r="B68" s="8"/>
      <c r="C68" s="8"/>
    </row>
    <row r="69">
      <c r="A69" s="3"/>
      <c r="B69" s="8"/>
      <c r="C69" s="8"/>
    </row>
    <row r="70">
      <c r="A70" s="3"/>
      <c r="B70" s="8"/>
      <c r="C70" s="8"/>
    </row>
    <row r="71">
      <c r="A71" s="3"/>
      <c r="B71" s="8"/>
      <c r="C71" s="8"/>
    </row>
    <row r="72">
      <c r="A72" s="3"/>
      <c r="B72" s="8"/>
      <c r="C72" s="8"/>
    </row>
    <row r="73">
      <c r="A73" s="3"/>
      <c r="B73" s="8"/>
      <c r="C73" s="8"/>
    </row>
    <row r="74">
      <c r="A74" s="3"/>
      <c r="B74" s="8"/>
      <c r="C74" s="8"/>
    </row>
    <row r="75">
      <c r="A75" s="3"/>
      <c r="B75" s="8"/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8"/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">
      <formula1>kategorie!$A$1:$A$10</formula1>
    </dataValidation>
    <dataValidation type="list" allowBlank="1" sqref="A13:A102">
      <formula1>kategorie!$A$1:$A$50</formula1>
    </dataValidation>
    <dataValidation type="list" allowBlank="1" sqref="A4:A12">
      <formula1>kategorie!$A$1:$A$20</formula1>
    </dataValidation>
  </dataValidation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SUM(J3:J1002)</f>
        <v>5081</v>
      </c>
    </row>
    <row r="2">
      <c r="B2" s="2"/>
      <c r="C2" s="2"/>
    </row>
    <row r="3">
      <c r="A3" s="1" t="s">
        <v>58</v>
      </c>
      <c r="B3" s="8">
        <v>234.0</v>
      </c>
      <c r="C3" s="8"/>
      <c r="E3" s="1" t="s">
        <v>34</v>
      </c>
      <c r="F3" s="8">
        <v>16843.62</v>
      </c>
      <c r="H3" s="8">
        <f>Zbiorczy!D6</f>
        <v>30038</v>
      </c>
      <c r="J3" s="3">
        <f t="shared" ref="J3:J7" si="1">SUMIF($A$3:A$101, K3, B$3:B$101)</f>
        <v>614</v>
      </c>
      <c r="K3" s="1" t="s">
        <v>35</v>
      </c>
    </row>
    <row r="4">
      <c r="A4" s="1" t="s">
        <v>50</v>
      </c>
      <c r="B4" s="8">
        <v>220.0</v>
      </c>
      <c r="C4" s="8"/>
      <c r="E4" s="1" t="s">
        <v>1436</v>
      </c>
      <c r="F4" s="8">
        <v>3312.0</v>
      </c>
      <c r="J4" s="3">
        <f t="shared" si="1"/>
        <v>1983</v>
      </c>
      <c r="K4" s="1" t="s">
        <v>40</v>
      </c>
    </row>
    <row r="5">
      <c r="A5" s="1" t="s">
        <v>41</v>
      </c>
      <c r="B5" s="8">
        <v>15.0</v>
      </c>
      <c r="C5" s="8"/>
      <c r="E5" s="1" t="s">
        <v>1437</v>
      </c>
      <c r="F5" s="1">
        <v>150.0</v>
      </c>
      <c r="J5" s="3">
        <f t="shared" si="1"/>
        <v>1901</v>
      </c>
      <c r="K5" s="1" t="s">
        <v>46</v>
      </c>
    </row>
    <row r="6">
      <c r="A6" s="1" t="s">
        <v>36</v>
      </c>
      <c r="B6" s="8">
        <v>86.0</v>
      </c>
      <c r="C6" s="8"/>
      <c r="E6" s="1" t="s">
        <v>1438</v>
      </c>
      <c r="F6" s="1">
        <v>1650.0</v>
      </c>
      <c r="J6" s="3">
        <f t="shared" si="1"/>
        <v>420</v>
      </c>
      <c r="K6" s="1" t="s">
        <v>50</v>
      </c>
    </row>
    <row r="7">
      <c r="A7" s="1" t="s">
        <v>56</v>
      </c>
      <c r="B7" s="8">
        <v>88.0</v>
      </c>
      <c r="C7" s="8"/>
      <c r="J7" s="3">
        <f t="shared" si="1"/>
        <v>163</v>
      </c>
      <c r="K7" s="1" t="s">
        <v>55</v>
      </c>
      <c r="M7" s="3">
        <f>SUMIF($A$3:A$101, N7, B$3:B$101)</f>
        <v>20</v>
      </c>
      <c r="N7" s="1" t="s">
        <v>47</v>
      </c>
    </row>
    <row r="8">
      <c r="A8" s="1" t="s">
        <v>36</v>
      </c>
      <c r="B8" s="8">
        <v>86.0</v>
      </c>
      <c r="C8" s="8"/>
    </row>
    <row r="9">
      <c r="A9" s="1" t="s">
        <v>56</v>
      </c>
      <c r="B9" s="8">
        <v>34.0</v>
      </c>
      <c r="C9" s="8"/>
    </row>
    <row r="10">
      <c r="A10" s="1" t="s">
        <v>56</v>
      </c>
      <c r="B10" s="8">
        <v>34.0</v>
      </c>
      <c r="C10" s="8"/>
    </row>
    <row r="11">
      <c r="A11" s="1" t="s">
        <v>36</v>
      </c>
      <c r="B11" s="8">
        <v>74.0</v>
      </c>
      <c r="C11" s="8"/>
    </row>
    <row r="12">
      <c r="A12" s="1" t="s">
        <v>201</v>
      </c>
      <c r="B12" s="8">
        <v>614.0</v>
      </c>
      <c r="C12" s="8"/>
    </row>
    <row r="13">
      <c r="A13" s="1" t="s">
        <v>36</v>
      </c>
      <c r="B13" s="8">
        <v>86.0</v>
      </c>
      <c r="C13" s="8"/>
    </row>
    <row r="14">
      <c r="A14" s="1" t="s">
        <v>56</v>
      </c>
      <c r="B14" s="8">
        <v>11.0</v>
      </c>
      <c r="C14" s="8"/>
    </row>
    <row r="15">
      <c r="A15" s="1" t="s">
        <v>36</v>
      </c>
      <c r="B15" s="8">
        <v>45.0</v>
      </c>
      <c r="C15" s="8"/>
    </row>
    <row r="16">
      <c r="A16" s="1" t="s">
        <v>56</v>
      </c>
      <c r="B16" s="8">
        <v>238.0</v>
      </c>
      <c r="C16" s="8"/>
    </row>
    <row r="17">
      <c r="A17" s="1" t="s">
        <v>41</v>
      </c>
      <c r="B17" s="8">
        <v>12.0</v>
      </c>
      <c r="C17" s="8"/>
    </row>
    <row r="18">
      <c r="A18" s="1" t="s">
        <v>56</v>
      </c>
      <c r="B18" s="8">
        <v>22.0</v>
      </c>
      <c r="C18" s="8"/>
    </row>
    <row r="19">
      <c r="A19" s="1" t="s">
        <v>58</v>
      </c>
      <c r="B19" s="8">
        <v>55.0</v>
      </c>
      <c r="C19" s="8"/>
    </row>
    <row r="20">
      <c r="A20" s="1" t="s">
        <v>56</v>
      </c>
      <c r="B20" s="8">
        <v>110.0</v>
      </c>
      <c r="C20" s="8"/>
    </row>
    <row r="21">
      <c r="A21" s="1" t="s">
        <v>56</v>
      </c>
      <c r="B21" s="8">
        <v>11.0</v>
      </c>
      <c r="C21" s="8"/>
    </row>
    <row r="22">
      <c r="A22" s="1" t="s">
        <v>50</v>
      </c>
      <c r="B22" s="8">
        <v>90.0</v>
      </c>
      <c r="C22" s="8"/>
    </row>
    <row r="23">
      <c r="A23" s="1" t="s">
        <v>1172</v>
      </c>
      <c r="B23" s="8">
        <v>117.0</v>
      </c>
      <c r="C23" s="8"/>
    </row>
    <row r="24">
      <c r="A24" s="1" t="s">
        <v>51</v>
      </c>
      <c r="B24" s="8">
        <v>137.0</v>
      </c>
      <c r="C24" s="8"/>
    </row>
    <row r="25">
      <c r="A25" s="1" t="s">
        <v>842</v>
      </c>
      <c r="B25" s="8">
        <v>115.0</v>
      </c>
      <c r="C25" s="8"/>
    </row>
    <row r="26">
      <c r="A26" s="1" t="s">
        <v>842</v>
      </c>
      <c r="B26" s="8">
        <v>60.0</v>
      </c>
      <c r="C26" s="8"/>
    </row>
    <row r="27">
      <c r="A27" s="1" t="s">
        <v>46</v>
      </c>
      <c r="B27" s="8">
        <v>1901.0</v>
      </c>
      <c r="C27" s="8"/>
    </row>
    <row r="28">
      <c r="A28" s="1" t="s">
        <v>40</v>
      </c>
      <c r="B28" s="8">
        <v>1983.0</v>
      </c>
      <c r="C28" s="8"/>
    </row>
    <row r="29">
      <c r="A29" s="1" t="s">
        <v>36</v>
      </c>
      <c r="B29" s="8">
        <v>80.0</v>
      </c>
      <c r="C29" s="8"/>
    </row>
    <row r="30">
      <c r="A30" s="1" t="s">
        <v>41</v>
      </c>
      <c r="B30" s="8">
        <v>12.0</v>
      </c>
      <c r="C30" s="8"/>
    </row>
    <row r="31">
      <c r="A31" s="1" t="s">
        <v>56</v>
      </c>
      <c r="B31" s="8">
        <v>68.0</v>
      </c>
      <c r="C31" s="8"/>
    </row>
    <row r="32">
      <c r="A32" s="1" t="s">
        <v>47</v>
      </c>
      <c r="B32" s="8">
        <v>10.0</v>
      </c>
      <c r="C32" s="8"/>
    </row>
    <row r="33">
      <c r="A33" s="1" t="s">
        <v>36</v>
      </c>
      <c r="B33" s="8">
        <v>48.0</v>
      </c>
      <c r="C33" s="8"/>
    </row>
    <row r="34">
      <c r="A34" s="1" t="s">
        <v>148</v>
      </c>
      <c r="B34" s="8">
        <v>89.0</v>
      </c>
      <c r="C34" s="8"/>
    </row>
    <row r="35">
      <c r="A35" s="1" t="s">
        <v>56</v>
      </c>
      <c r="B35" s="8">
        <v>30.0</v>
      </c>
      <c r="C35" s="8"/>
    </row>
    <row r="36">
      <c r="A36" s="1" t="s">
        <v>47</v>
      </c>
      <c r="B36" s="8">
        <v>10.0</v>
      </c>
      <c r="C36" s="8"/>
    </row>
    <row r="37">
      <c r="A37" s="1" t="s">
        <v>36</v>
      </c>
      <c r="B37" s="8">
        <v>35.0</v>
      </c>
      <c r="C37" s="8"/>
    </row>
    <row r="38">
      <c r="A38" s="1" t="s">
        <v>51</v>
      </c>
      <c r="B38" s="8">
        <v>98.0</v>
      </c>
      <c r="C38" s="8"/>
    </row>
    <row r="39">
      <c r="A39" s="1" t="s">
        <v>41</v>
      </c>
      <c r="B39" s="8">
        <v>7.0</v>
      </c>
      <c r="C39" s="8"/>
    </row>
    <row r="40">
      <c r="A40" s="1" t="s">
        <v>36</v>
      </c>
      <c r="B40" s="8">
        <v>46.0</v>
      </c>
      <c r="C40" s="8"/>
    </row>
    <row r="41">
      <c r="A41" s="1" t="s">
        <v>55</v>
      </c>
      <c r="B41" s="8">
        <v>163.0</v>
      </c>
      <c r="C41" s="8"/>
    </row>
    <row r="42">
      <c r="A42" s="1" t="s">
        <v>36</v>
      </c>
      <c r="B42" s="8">
        <v>6.0</v>
      </c>
      <c r="C42" s="8"/>
    </row>
    <row r="43">
      <c r="A43" s="1" t="s">
        <v>36</v>
      </c>
      <c r="B43" s="8">
        <v>15.0</v>
      </c>
      <c r="C43" s="8"/>
    </row>
    <row r="44">
      <c r="A44" s="1" t="s">
        <v>148</v>
      </c>
      <c r="B44" s="8">
        <v>194.0</v>
      </c>
      <c r="C44" s="8"/>
    </row>
    <row r="45">
      <c r="A45" s="1" t="s">
        <v>36</v>
      </c>
      <c r="B45" s="8">
        <v>40.0</v>
      </c>
      <c r="C45" s="8"/>
    </row>
    <row r="46">
      <c r="A46" s="1" t="s">
        <v>36</v>
      </c>
      <c r="B46" s="8">
        <v>25.0</v>
      </c>
      <c r="C46" s="8"/>
    </row>
    <row r="47">
      <c r="A47" s="1" t="s">
        <v>56</v>
      </c>
      <c r="B47" s="8">
        <v>13.0</v>
      </c>
      <c r="C47" s="8"/>
    </row>
    <row r="48">
      <c r="A48" s="1" t="s">
        <v>56</v>
      </c>
      <c r="B48" s="8">
        <v>30.0</v>
      </c>
      <c r="C48" s="8"/>
    </row>
    <row r="49">
      <c r="A49" s="1" t="s">
        <v>36</v>
      </c>
      <c r="B49" s="8">
        <v>32.0</v>
      </c>
      <c r="C49" s="8"/>
    </row>
    <row r="50">
      <c r="A50" s="1" t="s">
        <v>56</v>
      </c>
      <c r="B50" s="8">
        <v>262.0</v>
      </c>
      <c r="C50" s="8"/>
    </row>
    <row r="51">
      <c r="A51" s="1" t="s">
        <v>36</v>
      </c>
      <c r="B51" s="8">
        <v>40.0</v>
      </c>
      <c r="C51" s="8"/>
    </row>
    <row r="52">
      <c r="A52" s="1" t="s">
        <v>56</v>
      </c>
      <c r="B52" s="8">
        <v>3470.0</v>
      </c>
      <c r="C52" s="8"/>
    </row>
    <row r="53">
      <c r="A53" s="1" t="s">
        <v>56</v>
      </c>
      <c r="B53" s="8">
        <v>25.0</v>
      </c>
      <c r="C53" s="8"/>
    </row>
    <row r="54">
      <c r="A54" s="1" t="s">
        <v>56</v>
      </c>
      <c r="B54" s="8">
        <v>69.0</v>
      </c>
      <c r="C54" s="8"/>
    </row>
    <row r="55">
      <c r="A55" s="1" t="s">
        <v>56</v>
      </c>
      <c r="B55" s="8">
        <v>20.0</v>
      </c>
      <c r="C55" s="8"/>
    </row>
    <row r="56">
      <c r="A56" s="1" t="s">
        <v>36</v>
      </c>
      <c r="B56" s="8">
        <v>37.0</v>
      </c>
      <c r="C56" s="8"/>
    </row>
    <row r="57">
      <c r="A57" s="1" t="s">
        <v>36</v>
      </c>
      <c r="B57" s="8">
        <v>27.0</v>
      </c>
      <c r="C57" s="8"/>
    </row>
    <row r="58">
      <c r="A58" s="1" t="s">
        <v>36</v>
      </c>
      <c r="B58" s="8">
        <v>44.0</v>
      </c>
      <c r="C58" s="8"/>
    </row>
    <row r="59">
      <c r="A59" s="1" t="s">
        <v>36</v>
      </c>
      <c r="B59" s="8">
        <v>6.0</v>
      </c>
      <c r="C59" s="8"/>
    </row>
    <row r="60">
      <c r="A60" s="1" t="s">
        <v>41</v>
      </c>
      <c r="B60" s="8">
        <v>9.0</v>
      </c>
      <c r="C60" s="8"/>
    </row>
    <row r="61">
      <c r="A61" s="1" t="s">
        <v>56</v>
      </c>
      <c r="B61" s="8">
        <v>1000.0</v>
      </c>
      <c r="C61" s="8"/>
    </row>
    <row r="62">
      <c r="A62" s="1" t="s">
        <v>148</v>
      </c>
      <c r="B62" s="8">
        <v>17.0</v>
      </c>
      <c r="C62" s="8"/>
    </row>
    <row r="63">
      <c r="A63" s="1" t="s">
        <v>842</v>
      </c>
      <c r="B63" s="8">
        <v>30.0</v>
      </c>
      <c r="C63" s="8"/>
    </row>
    <row r="64">
      <c r="A64" s="1" t="s">
        <v>73</v>
      </c>
      <c r="B64" s="8">
        <v>1650.0</v>
      </c>
      <c r="C64" s="8"/>
    </row>
    <row r="65">
      <c r="A65" s="1" t="s">
        <v>56</v>
      </c>
      <c r="B65" s="1">
        <v>40.0</v>
      </c>
    </row>
    <row r="66">
      <c r="A66" s="1" t="s">
        <v>56</v>
      </c>
      <c r="B66" s="8">
        <v>200.0</v>
      </c>
      <c r="C66" s="8"/>
    </row>
    <row r="67">
      <c r="A67" s="1" t="s">
        <v>56</v>
      </c>
      <c r="B67" s="8">
        <v>40.0</v>
      </c>
      <c r="C67" s="8"/>
    </row>
    <row r="68">
      <c r="A68" s="1" t="s">
        <v>56</v>
      </c>
      <c r="B68" s="8">
        <v>30.0</v>
      </c>
      <c r="C68" s="8"/>
    </row>
    <row r="69">
      <c r="A69" s="1" t="s">
        <v>56</v>
      </c>
      <c r="B69" s="8">
        <v>100.0</v>
      </c>
      <c r="C69" s="8"/>
    </row>
    <row r="70">
      <c r="A70" s="1" t="s">
        <v>56</v>
      </c>
      <c r="B70" s="8">
        <v>2.0</v>
      </c>
      <c r="C70" s="8"/>
    </row>
    <row r="71">
      <c r="A71" s="1" t="s">
        <v>56</v>
      </c>
      <c r="B71" s="8">
        <v>8.0</v>
      </c>
      <c r="C71" s="8"/>
    </row>
    <row r="72">
      <c r="A72" s="1" t="s">
        <v>56</v>
      </c>
      <c r="B72" s="8">
        <v>100.0</v>
      </c>
      <c r="C72" s="8"/>
    </row>
    <row r="73">
      <c r="A73" s="1" t="s">
        <v>56</v>
      </c>
      <c r="B73" s="8">
        <v>55.0</v>
      </c>
      <c r="C73" s="8"/>
    </row>
    <row r="74">
      <c r="A74" s="1" t="s">
        <v>36</v>
      </c>
      <c r="B74" s="8">
        <v>82.0</v>
      </c>
      <c r="C74" s="8"/>
    </row>
    <row r="75">
      <c r="A75" s="1" t="s">
        <v>42</v>
      </c>
      <c r="B75" s="8">
        <v>99.0</v>
      </c>
      <c r="C75" s="8"/>
    </row>
    <row r="76">
      <c r="A76" s="1" t="s">
        <v>36</v>
      </c>
      <c r="B76" s="8">
        <v>72.0</v>
      </c>
      <c r="C76" s="8"/>
    </row>
    <row r="77">
      <c r="A77" s="1" t="s">
        <v>842</v>
      </c>
      <c r="B77" s="8">
        <v>111.0</v>
      </c>
      <c r="C77" s="8"/>
    </row>
    <row r="78">
      <c r="A78" s="1" t="s">
        <v>36</v>
      </c>
      <c r="B78" s="8">
        <v>26.0</v>
      </c>
      <c r="C78" s="8"/>
    </row>
    <row r="79">
      <c r="A79" s="1" t="s">
        <v>58</v>
      </c>
      <c r="B79" s="8">
        <v>234.0</v>
      </c>
      <c r="C79" s="8"/>
    </row>
    <row r="80">
      <c r="A80" s="1" t="s">
        <v>307</v>
      </c>
      <c r="B80" s="8">
        <v>119.0</v>
      </c>
      <c r="C80" s="8"/>
    </row>
    <row r="81">
      <c r="A81" s="1" t="s">
        <v>41</v>
      </c>
      <c r="B81" s="8">
        <v>8.0</v>
      </c>
      <c r="C81" s="8"/>
    </row>
    <row r="82">
      <c r="A82" s="1" t="s">
        <v>50</v>
      </c>
      <c r="B82" s="8">
        <v>110.0</v>
      </c>
      <c r="C82" s="8"/>
    </row>
    <row r="83">
      <c r="A83" s="1" t="s">
        <v>51</v>
      </c>
      <c r="B83" s="8">
        <v>375.0</v>
      </c>
      <c r="C83" s="8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1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A102" s="3"/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  <row r="1002">
      <c r="B1002" s="2"/>
      <c r="C1002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">
      <formula1>kategorie!$A$1:$A$10</formula1>
    </dataValidation>
    <dataValidation type="list" allowBlank="1" sqref="A13:A102">
      <formula1>kategorie!$A$1:$A$50</formula1>
    </dataValidation>
    <dataValidation type="list" allowBlank="1" sqref="A4:A12">
      <formula1>kategorie!$A$1:$A$20</formula1>
    </dataValidation>
  </dataValidation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8" max="8" width="24.88"/>
  </cols>
  <sheetData>
    <row r="1">
      <c r="A1" s="1" t="s">
        <v>1347</v>
      </c>
      <c r="C1" s="1"/>
      <c r="E1" s="1" t="s">
        <v>27</v>
      </c>
      <c r="H1" s="1" t="s">
        <v>28</v>
      </c>
      <c r="J1" s="1" t="s">
        <v>29</v>
      </c>
      <c r="K1" s="6">
        <f>SUM(J3:J1001)</f>
        <v>8126</v>
      </c>
    </row>
    <row r="2">
      <c r="B2" s="2"/>
      <c r="C2" s="2"/>
    </row>
    <row r="3">
      <c r="A3" s="1" t="s">
        <v>56</v>
      </c>
      <c r="B3" s="8">
        <v>132.0</v>
      </c>
      <c r="C3" s="8"/>
      <c r="E3" s="1" t="s">
        <v>34</v>
      </c>
      <c r="F3" s="8">
        <v>17637.0</v>
      </c>
      <c r="H3" s="8">
        <f>Zbiorczy!D5</f>
        <v>30974</v>
      </c>
      <c r="J3" s="3">
        <f t="shared" ref="J3:J7" si="1">SUMIF($A$3:A$100, K3, B$3:B$100)</f>
        <v>609</v>
      </c>
      <c r="K3" s="1" t="s">
        <v>35</v>
      </c>
    </row>
    <row r="4">
      <c r="A4" s="1" t="s">
        <v>58</v>
      </c>
      <c r="B4" s="8">
        <v>234.0</v>
      </c>
      <c r="C4" s="8"/>
      <c r="F4" s="8"/>
      <c r="J4" s="3">
        <f t="shared" si="1"/>
        <v>3901</v>
      </c>
      <c r="K4" s="1" t="s">
        <v>40</v>
      </c>
    </row>
    <row r="5">
      <c r="A5" s="1" t="s">
        <v>50</v>
      </c>
      <c r="B5" s="8">
        <v>220.0</v>
      </c>
      <c r="C5" s="8"/>
      <c r="J5" s="3">
        <f t="shared" si="1"/>
        <v>3180</v>
      </c>
      <c r="K5" s="1" t="s">
        <v>46</v>
      </c>
    </row>
    <row r="6">
      <c r="A6" s="1" t="s">
        <v>36</v>
      </c>
      <c r="B6" s="8">
        <v>35.0</v>
      </c>
      <c r="C6" s="8"/>
      <c r="J6" s="3">
        <f t="shared" si="1"/>
        <v>273</v>
      </c>
      <c r="K6" s="1" t="s">
        <v>50</v>
      </c>
    </row>
    <row r="7">
      <c r="A7" s="1" t="s">
        <v>36</v>
      </c>
      <c r="B7" s="8">
        <v>35.0</v>
      </c>
      <c r="C7" s="8"/>
      <c r="J7" s="3">
        <f t="shared" si="1"/>
        <v>163</v>
      </c>
      <c r="K7" s="1" t="s">
        <v>55</v>
      </c>
      <c r="N7" s="3">
        <f>SUMIF($A$3:B$101, O7, C$3:C$101)</f>
        <v>0</v>
      </c>
      <c r="O7" s="1" t="s">
        <v>47</v>
      </c>
    </row>
    <row r="8">
      <c r="A8" s="1" t="s">
        <v>56</v>
      </c>
      <c r="B8" s="8">
        <v>26.0</v>
      </c>
      <c r="C8" s="8"/>
    </row>
    <row r="9">
      <c r="A9" s="1" t="s">
        <v>56</v>
      </c>
      <c r="B9" s="8">
        <v>4400.0</v>
      </c>
      <c r="C9" s="8"/>
    </row>
    <row r="10">
      <c r="A10" s="1" t="s">
        <v>56</v>
      </c>
      <c r="B10" s="8">
        <v>148.0</v>
      </c>
      <c r="C10" s="8"/>
    </row>
    <row r="11">
      <c r="A11" s="1" t="s">
        <v>36</v>
      </c>
      <c r="B11" s="8">
        <v>14.0</v>
      </c>
      <c r="C11" s="8"/>
    </row>
    <row r="12">
      <c r="A12" s="1" t="s">
        <v>36</v>
      </c>
      <c r="B12" s="8">
        <v>52.0</v>
      </c>
      <c r="C12" s="8"/>
    </row>
    <row r="13">
      <c r="A13" s="1" t="s">
        <v>73</v>
      </c>
      <c r="B13" s="8">
        <v>40.0</v>
      </c>
      <c r="C13" s="8"/>
    </row>
    <row r="14">
      <c r="A14" s="1" t="s">
        <v>41</v>
      </c>
      <c r="B14" s="8">
        <v>10.0</v>
      </c>
      <c r="C14" s="8"/>
    </row>
    <row r="15">
      <c r="A15" s="1" t="s">
        <v>56</v>
      </c>
      <c r="B15" s="8">
        <v>290.0</v>
      </c>
      <c r="C15" s="8"/>
    </row>
    <row r="16">
      <c r="A16" s="1" t="s">
        <v>56</v>
      </c>
      <c r="B16" s="8">
        <v>43.0</v>
      </c>
      <c r="C16" s="8"/>
    </row>
    <row r="17">
      <c r="A17" s="1" t="s">
        <v>58</v>
      </c>
      <c r="B17" s="8">
        <v>123.0</v>
      </c>
      <c r="C17" s="8"/>
    </row>
    <row r="18">
      <c r="A18" s="1" t="s">
        <v>56</v>
      </c>
      <c r="B18" s="8">
        <v>13.0</v>
      </c>
      <c r="C18" s="8"/>
    </row>
    <row r="19">
      <c r="A19" s="1" t="s">
        <v>73</v>
      </c>
      <c r="B19" s="8">
        <v>1500.0</v>
      </c>
      <c r="C19" s="8"/>
    </row>
    <row r="20">
      <c r="A20" s="1" t="s">
        <v>36</v>
      </c>
      <c r="B20" s="8">
        <v>38.0</v>
      </c>
      <c r="C20" s="8"/>
    </row>
    <row r="21">
      <c r="A21" s="1" t="s">
        <v>36</v>
      </c>
      <c r="B21" s="8">
        <v>86.0</v>
      </c>
      <c r="C21" s="8"/>
    </row>
    <row r="22">
      <c r="A22" s="1" t="s">
        <v>36</v>
      </c>
      <c r="B22" s="8">
        <v>11.0</v>
      </c>
      <c r="C22" s="8"/>
    </row>
    <row r="23">
      <c r="A23" s="1" t="s">
        <v>41</v>
      </c>
      <c r="B23" s="8">
        <v>11.0</v>
      </c>
      <c r="C23" s="8"/>
    </row>
    <row r="24">
      <c r="A24" s="1" t="s">
        <v>56</v>
      </c>
      <c r="B24" s="8">
        <v>90.0</v>
      </c>
      <c r="C24" s="8"/>
    </row>
    <row r="25">
      <c r="A25" s="1" t="s">
        <v>51</v>
      </c>
      <c r="B25" s="8">
        <v>92.0</v>
      </c>
      <c r="C25" s="8"/>
    </row>
    <row r="26">
      <c r="A26" s="1" t="s">
        <v>36</v>
      </c>
      <c r="B26" s="8">
        <v>13.0</v>
      </c>
      <c r="C26" s="8"/>
    </row>
    <row r="27">
      <c r="A27" s="1" t="s">
        <v>47</v>
      </c>
      <c r="B27" s="8">
        <v>10.0</v>
      </c>
      <c r="C27" s="8"/>
    </row>
    <row r="28">
      <c r="A28" s="1" t="s">
        <v>47</v>
      </c>
      <c r="B28" s="8">
        <v>1360.0</v>
      </c>
      <c r="C28" s="8"/>
    </row>
    <row r="29">
      <c r="A29" s="1" t="s">
        <v>47</v>
      </c>
      <c r="B29" s="8">
        <v>21.0</v>
      </c>
      <c r="C29" s="8"/>
    </row>
    <row r="30">
      <c r="A30" s="1" t="s">
        <v>47</v>
      </c>
      <c r="B30" s="8">
        <v>9.0</v>
      </c>
      <c r="C30" s="8"/>
    </row>
    <row r="31">
      <c r="A31" s="1" t="s">
        <v>36</v>
      </c>
      <c r="B31" s="8">
        <v>31.0</v>
      </c>
      <c r="C31" s="8"/>
    </row>
    <row r="32">
      <c r="A32" s="1" t="s">
        <v>51</v>
      </c>
      <c r="B32" s="8">
        <v>54.0</v>
      </c>
      <c r="C32" s="8"/>
    </row>
    <row r="33">
      <c r="A33" s="1" t="s">
        <v>47</v>
      </c>
      <c r="B33" s="8">
        <v>10.0</v>
      </c>
      <c r="C33" s="8"/>
    </row>
    <row r="34">
      <c r="A34" s="1" t="s">
        <v>36</v>
      </c>
      <c r="B34" s="8">
        <v>34.0</v>
      </c>
      <c r="C34" s="8"/>
    </row>
    <row r="35">
      <c r="A35" s="1" t="s">
        <v>47</v>
      </c>
      <c r="B35" s="8">
        <v>27.0</v>
      </c>
      <c r="C35" s="8"/>
    </row>
    <row r="36">
      <c r="A36" s="1" t="s">
        <v>36</v>
      </c>
      <c r="B36" s="8">
        <v>35.0</v>
      </c>
      <c r="C36" s="8"/>
    </row>
    <row r="37">
      <c r="A37" s="1" t="s">
        <v>55</v>
      </c>
      <c r="B37" s="8">
        <v>163.0</v>
      </c>
      <c r="C37" s="8"/>
    </row>
    <row r="38">
      <c r="A38" s="1" t="s">
        <v>46</v>
      </c>
      <c r="B38" s="8">
        <v>3180.0</v>
      </c>
      <c r="C38" s="8"/>
    </row>
    <row r="39">
      <c r="A39" s="1" t="s">
        <v>40</v>
      </c>
      <c r="B39" s="8">
        <v>3901.0</v>
      </c>
      <c r="C39" s="8"/>
    </row>
    <row r="40">
      <c r="A40" s="1" t="s">
        <v>201</v>
      </c>
      <c r="B40" s="8">
        <v>609.0</v>
      </c>
      <c r="C40" s="8"/>
    </row>
    <row r="41">
      <c r="A41" s="1" t="s">
        <v>42</v>
      </c>
      <c r="B41" s="8">
        <v>100.0</v>
      </c>
      <c r="C41" s="8"/>
    </row>
    <row r="42">
      <c r="A42" s="1" t="s">
        <v>56</v>
      </c>
      <c r="B42" s="8">
        <v>20.0</v>
      </c>
      <c r="C42" s="8"/>
    </row>
    <row r="43">
      <c r="A43" s="1" t="s">
        <v>36</v>
      </c>
      <c r="B43" s="8">
        <v>90.0</v>
      </c>
      <c r="C43" s="8"/>
    </row>
    <row r="44">
      <c r="A44" s="1" t="s">
        <v>41</v>
      </c>
      <c r="B44" s="8">
        <v>9.0</v>
      </c>
      <c r="C44" s="8"/>
    </row>
    <row r="45">
      <c r="A45" s="1" t="s">
        <v>36</v>
      </c>
      <c r="B45" s="8">
        <v>120.0</v>
      </c>
      <c r="C45" s="8"/>
    </row>
    <row r="46">
      <c r="A46" s="1" t="s">
        <v>1172</v>
      </c>
      <c r="B46" s="8">
        <v>36.0</v>
      </c>
      <c r="C46" s="8"/>
    </row>
    <row r="47">
      <c r="A47" s="1" t="s">
        <v>56</v>
      </c>
      <c r="B47" s="8">
        <v>200.0</v>
      </c>
      <c r="C47" s="8"/>
    </row>
    <row r="48">
      <c r="A48" s="1" t="s">
        <v>56</v>
      </c>
      <c r="B48" s="8">
        <v>30.0</v>
      </c>
      <c r="C48" s="8"/>
    </row>
    <row r="49">
      <c r="A49" s="1" t="s">
        <v>36</v>
      </c>
      <c r="B49" s="8">
        <v>47.0</v>
      </c>
      <c r="C49" s="8"/>
    </row>
    <row r="50">
      <c r="A50" s="1" t="s">
        <v>41</v>
      </c>
      <c r="B50" s="8">
        <v>5.0</v>
      </c>
      <c r="C50" s="8"/>
    </row>
    <row r="51">
      <c r="A51" s="1" t="s">
        <v>36</v>
      </c>
      <c r="B51" s="8">
        <v>27.0</v>
      </c>
      <c r="C51" s="8"/>
    </row>
    <row r="52">
      <c r="A52" s="1" t="s">
        <v>41</v>
      </c>
      <c r="B52" s="8">
        <v>24.0</v>
      </c>
      <c r="C52" s="8"/>
    </row>
    <row r="53">
      <c r="A53" s="1" t="s">
        <v>50</v>
      </c>
      <c r="B53" s="8">
        <v>53.0</v>
      </c>
      <c r="C53" s="8"/>
    </row>
    <row r="54">
      <c r="A54" s="1" t="s">
        <v>41</v>
      </c>
      <c r="B54" s="8">
        <v>8.0</v>
      </c>
      <c r="C54" s="8"/>
    </row>
    <row r="55">
      <c r="A55" s="1" t="s">
        <v>56</v>
      </c>
      <c r="B55" s="8">
        <v>120.0</v>
      </c>
      <c r="C55" s="8"/>
    </row>
    <row r="56">
      <c r="A56" s="1" t="s">
        <v>41</v>
      </c>
      <c r="B56" s="8">
        <v>6.0</v>
      </c>
      <c r="C56" s="8"/>
    </row>
    <row r="57">
      <c r="A57" s="1" t="s">
        <v>36</v>
      </c>
      <c r="B57" s="8">
        <v>130.0</v>
      </c>
      <c r="C57" s="8"/>
    </row>
    <row r="58">
      <c r="A58" s="1" t="s">
        <v>56</v>
      </c>
      <c r="B58" s="8">
        <v>348.0</v>
      </c>
      <c r="C58" s="8"/>
    </row>
    <row r="59">
      <c r="A59" s="1" t="s">
        <v>56</v>
      </c>
      <c r="B59" s="8">
        <v>100.0</v>
      </c>
      <c r="C59" s="8"/>
    </row>
    <row r="60">
      <c r="A60" s="3"/>
      <c r="B60" s="8"/>
      <c r="C60" s="8"/>
    </row>
    <row r="61">
      <c r="A61" s="3"/>
      <c r="B61" s="8"/>
      <c r="C61" s="8"/>
    </row>
    <row r="62">
      <c r="A62" s="3"/>
      <c r="B62" s="8"/>
      <c r="C62" s="8"/>
    </row>
    <row r="63">
      <c r="A63" s="3"/>
      <c r="B63" s="8"/>
      <c r="C63" s="8"/>
    </row>
    <row r="64">
      <c r="A64" s="3"/>
    </row>
    <row r="65">
      <c r="A65" s="3"/>
      <c r="B65" s="8"/>
      <c r="C65" s="8"/>
    </row>
    <row r="66">
      <c r="A66" s="3"/>
      <c r="B66" s="8"/>
      <c r="C66" s="8"/>
    </row>
    <row r="67">
      <c r="A67" s="3"/>
      <c r="B67" s="8"/>
      <c r="C67" s="8"/>
    </row>
    <row r="68">
      <c r="A68" s="3"/>
      <c r="B68" s="8"/>
      <c r="C68" s="8"/>
    </row>
    <row r="69">
      <c r="A69" s="3"/>
      <c r="B69" s="8"/>
      <c r="C69" s="8"/>
    </row>
    <row r="70">
      <c r="A70" s="3"/>
      <c r="B70" s="8"/>
      <c r="C70" s="8"/>
    </row>
    <row r="71">
      <c r="A71" s="3"/>
      <c r="B71" s="8"/>
      <c r="C71" s="8"/>
    </row>
    <row r="72">
      <c r="A72" s="3"/>
      <c r="B72" s="8"/>
      <c r="C72" s="8"/>
    </row>
    <row r="73">
      <c r="A73" s="3"/>
      <c r="B73" s="8"/>
      <c r="C73" s="8"/>
    </row>
    <row r="74">
      <c r="A74" s="3"/>
      <c r="B74" s="8"/>
      <c r="C74" s="8"/>
    </row>
    <row r="75">
      <c r="A75" s="3"/>
      <c r="B75" s="8"/>
      <c r="C75" s="8"/>
    </row>
    <row r="76">
      <c r="A76" s="3"/>
      <c r="B76" s="8"/>
      <c r="C76" s="8"/>
    </row>
    <row r="77">
      <c r="A77" s="3"/>
      <c r="B77" s="8"/>
      <c r="C77" s="8"/>
    </row>
    <row r="78">
      <c r="A78" s="3"/>
      <c r="B78" s="8"/>
      <c r="C78" s="8"/>
    </row>
    <row r="79">
      <c r="A79" s="3"/>
      <c r="B79" s="8"/>
      <c r="C79" s="8"/>
    </row>
    <row r="80">
      <c r="A80" s="3"/>
      <c r="B80" s="8"/>
      <c r="C80" s="8"/>
    </row>
    <row r="81">
      <c r="A81" s="3"/>
      <c r="B81" s="8"/>
      <c r="C81" s="8"/>
    </row>
    <row r="82">
      <c r="A82" s="3"/>
      <c r="B82" s="8"/>
      <c r="C82" s="8"/>
    </row>
    <row r="83">
      <c r="A83" s="3"/>
      <c r="B83" s="2"/>
      <c r="C83" s="2"/>
    </row>
    <row r="84">
      <c r="A84" s="3"/>
      <c r="B84" s="2"/>
      <c r="C84" s="2"/>
    </row>
    <row r="85">
      <c r="A85" s="3"/>
      <c r="B85" s="2"/>
      <c r="C85" s="2"/>
    </row>
    <row r="86">
      <c r="A86" s="3"/>
      <c r="B86" s="2"/>
      <c r="C86" s="2"/>
    </row>
    <row r="87">
      <c r="A87" s="3"/>
      <c r="B87" s="2"/>
      <c r="C87" s="2"/>
    </row>
    <row r="88">
      <c r="A88" s="3"/>
      <c r="B88" s="2"/>
      <c r="C88" s="2"/>
    </row>
    <row r="89">
      <c r="A89" s="3"/>
      <c r="B89" s="2"/>
      <c r="C89" s="2"/>
    </row>
    <row r="90">
      <c r="A90" s="3"/>
      <c r="B90" s="2"/>
      <c r="C90" s="2"/>
    </row>
    <row r="91">
      <c r="A91" s="3"/>
      <c r="B91" s="2"/>
      <c r="C91" s="2"/>
    </row>
    <row r="92">
      <c r="A92" s="3"/>
      <c r="B92" s="2"/>
      <c r="C92" s="2"/>
    </row>
    <row r="93">
      <c r="A93" s="3"/>
      <c r="B93" s="2"/>
      <c r="C93" s="2"/>
    </row>
    <row r="94">
      <c r="A94" s="3"/>
      <c r="B94" s="2"/>
      <c r="C94" s="2"/>
    </row>
    <row r="95">
      <c r="A95" s="3"/>
      <c r="B95" s="2"/>
      <c r="C95" s="2"/>
    </row>
    <row r="96">
      <c r="A96" s="3"/>
      <c r="B96" s="2"/>
      <c r="C96" s="2"/>
    </row>
    <row r="97">
      <c r="A97" s="3"/>
      <c r="B97" s="2"/>
      <c r="C97" s="2"/>
    </row>
    <row r="98">
      <c r="A98" s="3"/>
      <c r="B98" s="2"/>
      <c r="C98" s="2"/>
    </row>
    <row r="99">
      <c r="A99" s="3"/>
      <c r="B99" s="2"/>
      <c r="C99" s="2"/>
    </row>
    <row r="100">
      <c r="A100" s="3"/>
      <c r="B100" s="2"/>
      <c r="C100" s="2"/>
    </row>
    <row r="101">
      <c r="A101" s="3"/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  <row r="1001">
      <c r="B1001" s="2"/>
      <c r="C1001" s="2"/>
    </row>
  </sheetData>
  <customSheetViews>
    <customSheetView guid="{E969E989-0C31-444B-8C15-CA7195A654B3}" filter="1" showAutoFilter="1">
      <autoFilter ref="$G$15"/>
    </customSheetView>
  </customSheetViews>
  <mergeCells count="2">
    <mergeCell ref="A1:B1"/>
    <mergeCell ref="E1:F1"/>
  </mergeCells>
  <dataValidations>
    <dataValidation type="list" allowBlank="1" sqref="A3">
      <formula1>kategorie!$A$1:$A$10</formula1>
    </dataValidation>
    <dataValidation type="list" allowBlank="1" sqref="A4:A101">
      <formula1>kategorie!$A$1:$A$20</formula1>
    </dataValidation>
  </dataValidation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7" max="7" width="24.88"/>
  </cols>
  <sheetData>
    <row r="1">
      <c r="A1" s="1" t="s">
        <v>1347</v>
      </c>
      <c r="D1" s="1" t="s">
        <v>27</v>
      </c>
      <c r="G1" s="1" t="s">
        <v>28</v>
      </c>
      <c r="I1" s="1" t="s">
        <v>29</v>
      </c>
      <c r="J1" s="6">
        <f>SUM(I3:I1001)</f>
        <v>9847</v>
      </c>
    </row>
    <row r="2">
      <c r="B2" s="2"/>
    </row>
    <row r="3">
      <c r="A3" s="1" t="s">
        <v>56</v>
      </c>
      <c r="B3" s="8">
        <v>36.0</v>
      </c>
      <c r="D3" s="1" t="s">
        <v>34</v>
      </c>
      <c r="E3" s="8">
        <v>17589.0</v>
      </c>
      <c r="G3" s="8">
        <f>Zbiorczy!D4</f>
        <v>27785</v>
      </c>
      <c r="I3" s="3">
        <f t="shared" ref="I3:I7" si="1">SUMIF($A$3:A$100, J3, B$3:B$100)</f>
        <v>610</v>
      </c>
      <c r="J3" s="1" t="s">
        <v>35</v>
      </c>
    </row>
    <row r="4">
      <c r="A4" s="1" t="s">
        <v>41</v>
      </c>
      <c r="B4" s="8">
        <v>9.0</v>
      </c>
      <c r="D4" s="1" t="s">
        <v>1439</v>
      </c>
      <c r="E4" s="8">
        <v>383.0</v>
      </c>
      <c r="I4" s="3">
        <f t="shared" si="1"/>
        <v>3732</v>
      </c>
      <c r="J4" s="1" t="s">
        <v>40</v>
      </c>
    </row>
    <row r="5">
      <c r="A5" s="1" t="s">
        <v>56</v>
      </c>
      <c r="B5" s="8">
        <v>33.0</v>
      </c>
      <c r="I5" s="3">
        <f t="shared" si="1"/>
        <v>3153</v>
      </c>
      <c r="J5" s="1" t="s">
        <v>46</v>
      </c>
    </row>
    <row r="6">
      <c r="A6" s="1" t="s">
        <v>50</v>
      </c>
      <c r="B6" s="8">
        <v>6.0</v>
      </c>
      <c r="I6" s="3">
        <f t="shared" si="1"/>
        <v>2189</v>
      </c>
      <c r="J6" s="1" t="s">
        <v>50</v>
      </c>
    </row>
    <row r="7">
      <c r="A7" s="1" t="s">
        <v>41</v>
      </c>
      <c r="B7" s="8">
        <v>7.0</v>
      </c>
      <c r="I7" s="3">
        <f t="shared" si="1"/>
        <v>163</v>
      </c>
      <c r="J7" s="1" t="s">
        <v>55</v>
      </c>
    </row>
    <row r="8">
      <c r="A8" s="1" t="s">
        <v>41</v>
      </c>
      <c r="B8" s="8">
        <v>13.0</v>
      </c>
    </row>
    <row r="9">
      <c r="A9" s="1" t="s">
        <v>56</v>
      </c>
      <c r="B9" s="8">
        <v>14.0</v>
      </c>
    </row>
    <row r="10">
      <c r="A10" s="1" t="s">
        <v>36</v>
      </c>
      <c r="B10" s="8">
        <v>44.0</v>
      </c>
    </row>
    <row r="11">
      <c r="A11" s="1" t="s">
        <v>50</v>
      </c>
      <c r="B11" s="8">
        <v>2130.0</v>
      </c>
    </row>
    <row r="12">
      <c r="A12" s="1" t="s">
        <v>36</v>
      </c>
      <c r="B12" s="8">
        <v>49.0</v>
      </c>
    </row>
    <row r="13">
      <c r="A13" s="1" t="s">
        <v>80</v>
      </c>
      <c r="B13" s="8">
        <v>18.0</v>
      </c>
    </row>
    <row r="14">
      <c r="A14" s="1" t="s">
        <v>56</v>
      </c>
      <c r="B14" s="8">
        <v>230.0</v>
      </c>
    </row>
    <row r="15">
      <c r="A15" s="1" t="s">
        <v>36</v>
      </c>
      <c r="B15" s="8">
        <v>8.0</v>
      </c>
    </row>
    <row r="16">
      <c r="A16" s="1" t="s">
        <v>1172</v>
      </c>
      <c r="B16" s="8">
        <v>26.0</v>
      </c>
    </row>
    <row r="17">
      <c r="A17" s="1" t="s">
        <v>73</v>
      </c>
      <c r="B17" s="8">
        <v>150.0</v>
      </c>
    </row>
    <row r="18">
      <c r="A18" s="1" t="s">
        <v>201</v>
      </c>
      <c r="B18" s="8">
        <v>610.0</v>
      </c>
    </row>
    <row r="19">
      <c r="A19" s="1" t="s">
        <v>56</v>
      </c>
      <c r="B19" s="8">
        <v>36.0</v>
      </c>
    </row>
    <row r="20">
      <c r="A20" s="1" t="s">
        <v>51</v>
      </c>
      <c r="B20" s="8">
        <v>78.0</v>
      </c>
    </row>
    <row r="21">
      <c r="A21" s="1" t="s">
        <v>42</v>
      </c>
      <c r="B21" s="8">
        <v>163.0</v>
      </c>
    </row>
    <row r="22">
      <c r="A22" s="1" t="s">
        <v>56</v>
      </c>
      <c r="B22" s="8">
        <v>10.0</v>
      </c>
    </row>
    <row r="23">
      <c r="A23" s="1" t="s">
        <v>56</v>
      </c>
      <c r="B23" s="8">
        <v>36.0</v>
      </c>
    </row>
    <row r="24">
      <c r="A24" s="1" t="s">
        <v>1172</v>
      </c>
      <c r="B24" s="8">
        <v>15.0</v>
      </c>
    </row>
    <row r="25">
      <c r="A25" s="1" t="s">
        <v>36</v>
      </c>
      <c r="B25" s="8">
        <v>50.0</v>
      </c>
    </row>
    <row r="26">
      <c r="A26" s="1" t="s">
        <v>56</v>
      </c>
      <c r="B26" s="8">
        <v>1150.0</v>
      </c>
    </row>
    <row r="27">
      <c r="A27" s="1" t="s">
        <v>36</v>
      </c>
      <c r="B27" s="8">
        <v>16.0</v>
      </c>
    </row>
    <row r="28">
      <c r="A28" s="1" t="s">
        <v>50</v>
      </c>
      <c r="B28" s="8">
        <v>53.0</v>
      </c>
    </row>
    <row r="29">
      <c r="A29" s="1" t="s">
        <v>40</v>
      </c>
      <c r="B29" s="8">
        <v>3732.0</v>
      </c>
    </row>
    <row r="30">
      <c r="A30" s="1" t="s">
        <v>46</v>
      </c>
      <c r="B30" s="8">
        <v>3153.0</v>
      </c>
    </row>
    <row r="31">
      <c r="A31" s="1" t="s">
        <v>56</v>
      </c>
      <c r="B31" s="8">
        <v>45.0</v>
      </c>
    </row>
    <row r="32">
      <c r="A32" s="1" t="s">
        <v>36</v>
      </c>
      <c r="B32" s="8">
        <v>14.0</v>
      </c>
    </row>
    <row r="33">
      <c r="A33" s="1" t="s">
        <v>56</v>
      </c>
      <c r="B33" s="8">
        <v>65.0</v>
      </c>
    </row>
    <row r="34">
      <c r="A34" s="1" t="s">
        <v>36</v>
      </c>
      <c r="B34" s="8">
        <v>44.0</v>
      </c>
    </row>
    <row r="35">
      <c r="A35" s="1" t="s">
        <v>56</v>
      </c>
      <c r="B35" s="8">
        <v>36.0</v>
      </c>
    </row>
    <row r="36">
      <c r="A36" s="1" t="s">
        <v>41</v>
      </c>
      <c r="B36" s="8">
        <v>11.0</v>
      </c>
    </row>
    <row r="37">
      <c r="A37" s="1" t="s">
        <v>41</v>
      </c>
      <c r="B37" s="8">
        <v>10.0</v>
      </c>
    </row>
    <row r="38">
      <c r="A38" s="1" t="s">
        <v>36</v>
      </c>
      <c r="B38" s="8">
        <v>17.0</v>
      </c>
    </row>
    <row r="39">
      <c r="A39" s="1" t="s">
        <v>36</v>
      </c>
      <c r="B39" s="8">
        <v>25.0</v>
      </c>
    </row>
    <row r="40">
      <c r="A40" s="1" t="s">
        <v>36</v>
      </c>
      <c r="B40" s="8">
        <v>45.0</v>
      </c>
    </row>
    <row r="41">
      <c r="A41" s="1" t="s">
        <v>73</v>
      </c>
      <c r="B41" s="8">
        <v>200.0</v>
      </c>
    </row>
    <row r="42">
      <c r="A42" s="1" t="s">
        <v>1172</v>
      </c>
      <c r="B42" s="8">
        <v>21.0</v>
      </c>
    </row>
    <row r="43">
      <c r="A43" s="1" t="s">
        <v>36</v>
      </c>
      <c r="B43" s="8">
        <v>16.0</v>
      </c>
    </row>
    <row r="44">
      <c r="A44" s="1" t="s">
        <v>41</v>
      </c>
      <c r="B44" s="8">
        <v>3.0</v>
      </c>
    </row>
    <row r="45">
      <c r="A45" s="1" t="s">
        <v>56</v>
      </c>
      <c r="B45" s="8">
        <v>16.0</v>
      </c>
    </row>
    <row r="46">
      <c r="A46" s="1" t="s">
        <v>56</v>
      </c>
      <c r="B46" s="8">
        <v>600.0</v>
      </c>
    </row>
    <row r="47">
      <c r="A47" s="1" t="s">
        <v>47</v>
      </c>
      <c r="B47" s="8">
        <v>10.0</v>
      </c>
    </row>
    <row r="48">
      <c r="A48" s="1" t="s">
        <v>56</v>
      </c>
      <c r="B48" s="8">
        <v>136.0</v>
      </c>
    </row>
    <row r="49">
      <c r="A49" s="1" t="s">
        <v>56</v>
      </c>
      <c r="B49" s="8">
        <v>20.0</v>
      </c>
    </row>
    <row r="50">
      <c r="A50" s="1" t="s">
        <v>41</v>
      </c>
      <c r="B50" s="8">
        <v>5.0</v>
      </c>
    </row>
    <row r="51">
      <c r="A51" s="1" t="s">
        <v>55</v>
      </c>
      <c r="B51" s="8">
        <v>163.0</v>
      </c>
    </row>
    <row r="52">
      <c r="A52" s="1" t="s">
        <v>1172</v>
      </c>
      <c r="B52" s="8">
        <v>46.0</v>
      </c>
    </row>
    <row r="53">
      <c r="A53" s="1" t="s">
        <v>41</v>
      </c>
      <c r="B53" s="8">
        <v>3.0</v>
      </c>
    </row>
    <row r="54">
      <c r="A54" s="1" t="s">
        <v>36</v>
      </c>
      <c r="B54" s="8">
        <v>54.0</v>
      </c>
    </row>
    <row r="55">
      <c r="A55" s="1" t="s">
        <v>56</v>
      </c>
      <c r="B55" s="8">
        <v>275.0</v>
      </c>
    </row>
    <row r="56">
      <c r="A56" s="1" t="s">
        <v>1172</v>
      </c>
      <c r="B56" s="8">
        <v>82.0</v>
      </c>
    </row>
    <row r="57">
      <c r="A57" s="1" t="s">
        <v>36</v>
      </c>
      <c r="B57" s="8">
        <v>20.0</v>
      </c>
    </row>
    <row r="58">
      <c r="A58" s="1" t="s">
        <v>56</v>
      </c>
      <c r="B58" s="8">
        <v>68.0</v>
      </c>
    </row>
    <row r="59">
      <c r="A59" s="1" t="s">
        <v>36</v>
      </c>
      <c r="B59" s="8">
        <v>16.0</v>
      </c>
    </row>
    <row r="60">
      <c r="A60" s="1" t="s">
        <v>56</v>
      </c>
      <c r="B60" s="8">
        <v>74.0</v>
      </c>
    </row>
    <row r="61">
      <c r="A61" s="1" t="s">
        <v>148</v>
      </c>
      <c r="B61" s="8">
        <v>57.0</v>
      </c>
    </row>
    <row r="62">
      <c r="A62" s="1" t="s">
        <v>51</v>
      </c>
      <c r="B62" s="8">
        <v>92.0</v>
      </c>
    </row>
    <row r="63">
      <c r="A63" s="1" t="s">
        <v>56</v>
      </c>
      <c r="B63" s="8">
        <v>619.0</v>
      </c>
    </row>
    <row r="64">
      <c r="A64" s="3"/>
    </row>
    <row r="65">
      <c r="A65" s="3"/>
      <c r="B65" s="8"/>
    </row>
    <row r="66">
      <c r="A66" s="3"/>
      <c r="B66" s="8"/>
    </row>
    <row r="67">
      <c r="A67" s="3"/>
      <c r="B67" s="8"/>
    </row>
    <row r="68">
      <c r="A68" s="3"/>
      <c r="B68" s="8"/>
    </row>
    <row r="69">
      <c r="A69" s="3"/>
      <c r="B69" s="8"/>
    </row>
    <row r="70">
      <c r="A70" s="3"/>
      <c r="B70" s="8"/>
    </row>
    <row r="71">
      <c r="A71" s="3"/>
      <c r="B71" s="8"/>
    </row>
    <row r="72">
      <c r="A72" s="3"/>
      <c r="B72" s="8"/>
    </row>
    <row r="73">
      <c r="A73" s="3"/>
      <c r="B73" s="8"/>
    </row>
    <row r="74">
      <c r="A74" s="3"/>
      <c r="B74" s="8"/>
    </row>
    <row r="75">
      <c r="A75" s="3"/>
      <c r="B75" s="8"/>
    </row>
    <row r="76">
      <c r="A76" s="3"/>
      <c r="B76" s="8"/>
    </row>
    <row r="77">
      <c r="A77" s="3"/>
      <c r="B77" s="8"/>
    </row>
    <row r="78">
      <c r="A78" s="3"/>
      <c r="B78" s="8"/>
    </row>
    <row r="79">
      <c r="A79" s="3"/>
      <c r="B79" s="8"/>
    </row>
    <row r="80">
      <c r="A80" s="3"/>
      <c r="B80" s="8"/>
    </row>
    <row r="81">
      <c r="A81" s="3"/>
      <c r="B81" s="8"/>
    </row>
    <row r="82">
      <c r="A82" s="3"/>
      <c r="B82" s="8"/>
    </row>
    <row r="83">
      <c r="A83" s="3"/>
      <c r="B83" s="2"/>
    </row>
    <row r="84">
      <c r="A84" s="3"/>
      <c r="B84" s="2"/>
    </row>
    <row r="85">
      <c r="A85" s="3"/>
      <c r="B85" s="2"/>
    </row>
    <row r="86">
      <c r="A86" s="3"/>
      <c r="B86" s="2"/>
    </row>
    <row r="87">
      <c r="A87" s="3"/>
      <c r="B87" s="2"/>
    </row>
    <row r="88">
      <c r="A88" s="3"/>
      <c r="B88" s="2"/>
    </row>
    <row r="89">
      <c r="A89" s="3"/>
      <c r="B89" s="2"/>
    </row>
    <row r="90">
      <c r="A90" s="3"/>
      <c r="B90" s="2"/>
    </row>
    <row r="91">
      <c r="A91" s="3"/>
      <c r="B91" s="2"/>
    </row>
    <row r="92">
      <c r="A92" s="3"/>
      <c r="B92" s="2"/>
    </row>
    <row r="93">
      <c r="A93" s="3"/>
      <c r="B93" s="2"/>
    </row>
    <row r="94">
      <c r="A94" s="3"/>
      <c r="B94" s="2"/>
    </row>
    <row r="95">
      <c r="A95" s="3"/>
      <c r="B95" s="2"/>
    </row>
    <row r="96">
      <c r="A96" s="3"/>
      <c r="B96" s="2"/>
    </row>
    <row r="97">
      <c r="A97" s="3"/>
      <c r="B97" s="2"/>
    </row>
    <row r="98">
      <c r="A98" s="3"/>
      <c r="B98" s="2"/>
    </row>
    <row r="99">
      <c r="A99" s="3"/>
      <c r="B99" s="2"/>
    </row>
    <row r="100">
      <c r="A100" s="3"/>
      <c r="B100" s="2"/>
    </row>
    <row r="101">
      <c r="A101" s="3"/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customSheetViews>
    <customSheetView guid="{E969E989-0C31-444B-8C15-CA7195A654B3}" filter="1" showAutoFilter="1">
      <autoFilter ref="$F$15"/>
    </customSheetView>
  </customSheetViews>
  <mergeCells count="2">
    <mergeCell ref="A1:B1"/>
    <mergeCell ref="D1:E1"/>
  </mergeCells>
  <dataValidations>
    <dataValidation type="list" allowBlank="1" sqref="A3">
      <formula1>kategorie!$A$1:$A$10</formula1>
    </dataValidation>
    <dataValidation type="list" allowBlank="1" sqref="A4:A101">
      <formula1>kategorie!$A$1:$A$20</formula1>
    </dataValidation>
  </dataValidation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7" max="7" width="24.88"/>
  </cols>
  <sheetData>
    <row r="1">
      <c r="A1" s="1" t="s">
        <v>1347</v>
      </c>
      <c r="D1" s="1" t="s">
        <v>27</v>
      </c>
      <c r="G1" s="1" t="s">
        <v>28</v>
      </c>
      <c r="I1" s="1" t="s">
        <v>29</v>
      </c>
      <c r="J1" s="6">
        <f>SUM(I3:I1001)</f>
        <v>7790</v>
      </c>
    </row>
    <row r="2">
      <c r="B2" s="2"/>
    </row>
    <row r="3">
      <c r="A3" s="1" t="s">
        <v>36</v>
      </c>
      <c r="B3" s="8">
        <v>24.0</v>
      </c>
      <c r="D3" s="1" t="s">
        <v>34</v>
      </c>
      <c r="E3" s="8">
        <v>12792.0</v>
      </c>
      <c r="G3" s="8">
        <f>Zbiorczy!D3</f>
        <v>25596</v>
      </c>
      <c r="I3" s="3">
        <f t="shared" ref="I3:I7" si="1">SUMIF($A$3:A$100, J3, B$3:B$100)</f>
        <v>610</v>
      </c>
      <c r="J3" s="1" t="s">
        <v>35</v>
      </c>
    </row>
    <row r="4">
      <c r="A4" s="1" t="s">
        <v>42</v>
      </c>
      <c r="B4" s="8">
        <v>51.0</v>
      </c>
      <c r="D4" s="1" t="s">
        <v>1440</v>
      </c>
      <c r="E4" s="8">
        <v>799.0</v>
      </c>
      <c r="I4" s="3">
        <f t="shared" si="1"/>
        <v>2328</v>
      </c>
      <c r="J4" s="1" t="s">
        <v>40</v>
      </c>
    </row>
    <row r="5">
      <c r="A5" s="1" t="s">
        <v>1172</v>
      </c>
      <c r="B5" s="8">
        <v>47.0</v>
      </c>
      <c r="I5" s="3">
        <f t="shared" si="1"/>
        <v>2300</v>
      </c>
      <c r="J5" s="1" t="s">
        <v>46</v>
      </c>
    </row>
    <row r="6">
      <c r="A6" s="1" t="s">
        <v>56</v>
      </c>
      <c r="B6" s="8">
        <v>290.0</v>
      </c>
      <c r="I6" s="3">
        <f t="shared" si="1"/>
        <v>2389</v>
      </c>
      <c r="J6" s="1" t="s">
        <v>50</v>
      </c>
    </row>
    <row r="7">
      <c r="A7" s="1" t="s">
        <v>50</v>
      </c>
      <c r="B7" s="8">
        <v>100.0</v>
      </c>
      <c r="I7" s="3">
        <f t="shared" si="1"/>
        <v>163</v>
      </c>
      <c r="J7" s="1" t="s">
        <v>55</v>
      </c>
    </row>
    <row r="8">
      <c r="A8" s="1" t="s">
        <v>1172</v>
      </c>
      <c r="B8" s="8">
        <v>37.0</v>
      </c>
    </row>
    <row r="9">
      <c r="A9" s="1" t="s">
        <v>50</v>
      </c>
      <c r="B9" s="8">
        <v>2130.0</v>
      </c>
    </row>
    <row r="10">
      <c r="A10" s="1" t="s">
        <v>201</v>
      </c>
      <c r="B10" s="8">
        <v>610.0</v>
      </c>
    </row>
    <row r="11">
      <c r="A11" s="1" t="s">
        <v>56</v>
      </c>
      <c r="B11" s="8">
        <v>53.0</v>
      </c>
    </row>
    <row r="12">
      <c r="A12" s="1" t="s">
        <v>58</v>
      </c>
      <c r="B12" s="8">
        <v>150.0</v>
      </c>
    </row>
    <row r="13">
      <c r="A13" s="1" t="s">
        <v>50</v>
      </c>
      <c r="B13" s="8">
        <v>53.0</v>
      </c>
    </row>
    <row r="14">
      <c r="A14" s="1" t="s">
        <v>41</v>
      </c>
      <c r="B14" s="8">
        <v>6.0</v>
      </c>
    </row>
    <row r="15">
      <c r="A15" s="1" t="s">
        <v>1172</v>
      </c>
      <c r="B15" s="8">
        <v>50.0</v>
      </c>
    </row>
    <row r="16">
      <c r="A16" s="1" t="s">
        <v>80</v>
      </c>
      <c r="B16" s="8">
        <v>63.0</v>
      </c>
    </row>
    <row r="17">
      <c r="A17" s="1" t="s">
        <v>36</v>
      </c>
      <c r="B17" s="8">
        <v>72.0</v>
      </c>
    </row>
    <row r="18">
      <c r="A18" s="1" t="s">
        <v>41</v>
      </c>
      <c r="B18" s="8">
        <v>11.0</v>
      </c>
    </row>
    <row r="19">
      <c r="A19" s="1" t="s">
        <v>41</v>
      </c>
      <c r="B19" s="8">
        <v>10.0</v>
      </c>
    </row>
    <row r="20">
      <c r="A20" s="1" t="s">
        <v>36</v>
      </c>
      <c r="B20" s="8">
        <v>22.0</v>
      </c>
    </row>
    <row r="21">
      <c r="A21" s="1" t="s">
        <v>36</v>
      </c>
      <c r="B21" s="8">
        <v>33.0</v>
      </c>
    </row>
    <row r="22">
      <c r="A22" s="1" t="s">
        <v>1172</v>
      </c>
      <c r="B22" s="8">
        <v>9.0</v>
      </c>
    </row>
    <row r="23">
      <c r="A23" s="1" t="s">
        <v>80</v>
      </c>
      <c r="B23" s="8">
        <v>20.0</v>
      </c>
    </row>
    <row r="24">
      <c r="A24" s="1" t="s">
        <v>50</v>
      </c>
      <c r="B24" s="8">
        <v>49.0</v>
      </c>
    </row>
    <row r="25">
      <c r="A25" s="1" t="s">
        <v>40</v>
      </c>
      <c r="B25" s="8">
        <v>2328.0</v>
      </c>
    </row>
    <row r="26">
      <c r="A26" s="1" t="s">
        <v>46</v>
      </c>
      <c r="B26" s="8">
        <v>2300.0</v>
      </c>
    </row>
    <row r="27">
      <c r="A27" s="1" t="s">
        <v>80</v>
      </c>
      <c r="B27" s="8">
        <v>17.0</v>
      </c>
    </row>
    <row r="28">
      <c r="A28" s="1" t="s">
        <v>1172</v>
      </c>
      <c r="B28" s="8">
        <v>35.0</v>
      </c>
    </row>
    <row r="29">
      <c r="A29" s="1" t="s">
        <v>36</v>
      </c>
      <c r="B29" s="8">
        <v>16.0</v>
      </c>
    </row>
    <row r="30">
      <c r="A30" s="1" t="s">
        <v>42</v>
      </c>
      <c r="B30" s="8">
        <v>90.0</v>
      </c>
    </row>
    <row r="31">
      <c r="A31" s="1" t="s">
        <v>1172</v>
      </c>
      <c r="B31" s="8">
        <v>39.0</v>
      </c>
    </row>
    <row r="32">
      <c r="A32" s="1" t="s">
        <v>56</v>
      </c>
      <c r="B32" s="8">
        <v>150.0</v>
      </c>
    </row>
    <row r="33">
      <c r="A33" s="1" t="s">
        <v>56</v>
      </c>
      <c r="B33" s="8">
        <v>71.0</v>
      </c>
    </row>
    <row r="34">
      <c r="A34" s="1" t="s">
        <v>51</v>
      </c>
      <c r="B34" s="8">
        <v>50.0</v>
      </c>
    </row>
    <row r="35">
      <c r="A35" s="1" t="s">
        <v>47</v>
      </c>
      <c r="B35" s="8">
        <v>10.0</v>
      </c>
    </row>
    <row r="36">
      <c r="A36" s="1" t="s">
        <v>36</v>
      </c>
      <c r="B36" s="8">
        <v>30.0</v>
      </c>
    </row>
    <row r="37">
      <c r="A37" s="1" t="s">
        <v>41</v>
      </c>
      <c r="B37" s="8">
        <v>7.0</v>
      </c>
    </row>
    <row r="38">
      <c r="A38" s="1" t="s">
        <v>37</v>
      </c>
      <c r="B38" s="8">
        <v>3.0</v>
      </c>
    </row>
    <row r="39">
      <c r="A39" s="1" t="s">
        <v>56</v>
      </c>
      <c r="B39" s="8">
        <v>74.0</v>
      </c>
    </row>
    <row r="40">
      <c r="A40" s="1" t="s">
        <v>772</v>
      </c>
      <c r="B40" s="8">
        <v>14.0</v>
      </c>
    </row>
    <row r="41">
      <c r="A41" s="1" t="s">
        <v>36</v>
      </c>
      <c r="B41" s="8">
        <v>57.0</v>
      </c>
    </row>
    <row r="42">
      <c r="A42" s="1" t="s">
        <v>51</v>
      </c>
      <c r="B42" s="8">
        <v>82.0</v>
      </c>
    </row>
    <row r="43">
      <c r="A43" s="1" t="s">
        <v>36</v>
      </c>
      <c r="B43" s="8">
        <v>44.0</v>
      </c>
    </row>
    <row r="44">
      <c r="A44" s="1" t="s">
        <v>36</v>
      </c>
      <c r="B44" s="8">
        <v>10.0</v>
      </c>
    </row>
    <row r="45">
      <c r="A45" s="1" t="s">
        <v>55</v>
      </c>
      <c r="B45" s="8">
        <v>163.0</v>
      </c>
    </row>
    <row r="46">
      <c r="A46" s="1" t="s">
        <v>50</v>
      </c>
      <c r="B46" s="8">
        <v>57.0</v>
      </c>
    </row>
    <row r="47">
      <c r="A47" s="1" t="s">
        <v>37</v>
      </c>
      <c r="B47" s="8">
        <v>3.0</v>
      </c>
    </row>
    <row r="48">
      <c r="A48" s="1" t="s">
        <v>56</v>
      </c>
      <c r="B48" s="8">
        <v>200.0</v>
      </c>
    </row>
    <row r="49">
      <c r="A49" s="1" t="s">
        <v>36</v>
      </c>
      <c r="B49" s="8">
        <v>13.0</v>
      </c>
    </row>
    <row r="50">
      <c r="A50" s="1" t="s">
        <v>42</v>
      </c>
      <c r="B50" s="8">
        <v>15.0</v>
      </c>
    </row>
    <row r="51">
      <c r="A51" s="1" t="s">
        <v>56</v>
      </c>
      <c r="B51" s="8">
        <v>7.0</v>
      </c>
    </row>
    <row r="52">
      <c r="A52" s="1" t="s">
        <v>56</v>
      </c>
      <c r="B52" s="8">
        <v>18.0</v>
      </c>
    </row>
    <row r="53">
      <c r="A53" s="1" t="s">
        <v>36</v>
      </c>
      <c r="B53" s="8">
        <v>27.0</v>
      </c>
    </row>
    <row r="54">
      <c r="A54" s="1" t="s">
        <v>56</v>
      </c>
      <c r="B54" s="8">
        <v>54.0</v>
      </c>
    </row>
    <row r="55">
      <c r="A55" s="1" t="s">
        <v>36</v>
      </c>
      <c r="B55" s="8">
        <v>11.0</v>
      </c>
    </row>
    <row r="56">
      <c r="A56" s="1" t="s">
        <v>41</v>
      </c>
      <c r="B56" s="8">
        <v>8.0</v>
      </c>
    </row>
    <row r="57">
      <c r="A57" s="1" t="s">
        <v>1172</v>
      </c>
      <c r="B57" s="8">
        <v>28.0</v>
      </c>
    </row>
    <row r="58">
      <c r="A58" s="1" t="s">
        <v>37</v>
      </c>
      <c r="B58" s="8">
        <v>10.0</v>
      </c>
    </row>
    <row r="59">
      <c r="A59" s="1" t="s">
        <v>307</v>
      </c>
      <c r="B59" s="8">
        <v>72.0</v>
      </c>
    </row>
    <row r="60">
      <c r="A60" s="1" t="s">
        <v>56</v>
      </c>
      <c r="B60" s="8">
        <v>36.0</v>
      </c>
    </row>
    <row r="61">
      <c r="A61" s="1" t="s">
        <v>36</v>
      </c>
      <c r="B61" s="8">
        <v>29.0</v>
      </c>
    </row>
    <row r="62">
      <c r="A62" s="1" t="s">
        <v>41</v>
      </c>
      <c r="B62" s="8">
        <v>8.0</v>
      </c>
    </row>
    <row r="63">
      <c r="A63" s="1" t="s">
        <v>51</v>
      </c>
      <c r="B63" s="8">
        <v>147.0</v>
      </c>
    </row>
    <row r="64">
      <c r="A64" s="1" t="s">
        <v>41</v>
      </c>
      <c r="B64" s="1">
        <v>7.0</v>
      </c>
    </row>
    <row r="65">
      <c r="A65" s="1" t="s">
        <v>47</v>
      </c>
      <c r="B65" s="8">
        <v>64.0</v>
      </c>
    </row>
    <row r="66">
      <c r="A66" s="1" t="s">
        <v>37</v>
      </c>
      <c r="B66" s="8">
        <v>30.0</v>
      </c>
    </row>
    <row r="67">
      <c r="A67" s="1" t="s">
        <v>51</v>
      </c>
      <c r="B67" s="8">
        <v>34.0</v>
      </c>
    </row>
    <row r="68">
      <c r="A68" s="1" t="s">
        <v>56</v>
      </c>
      <c r="B68" s="8">
        <v>25.0</v>
      </c>
    </row>
    <row r="69">
      <c r="A69" s="1" t="s">
        <v>56</v>
      </c>
      <c r="B69" s="8">
        <v>40.0</v>
      </c>
    </row>
    <row r="70">
      <c r="A70" s="1" t="s">
        <v>56</v>
      </c>
      <c r="B70" s="8">
        <v>34.0</v>
      </c>
    </row>
    <row r="71">
      <c r="A71" s="1" t="s">
        <v>56</v>
      </c>
      <c r="B71" s="8">
        <v>20.0</v>
      </c>
    </row>
    <row r="72">
      <c r="A72" s="1" t="s">
        <v>56</v>
      </c>
      <c r="B72" s="8">
        <v>59.0</v>
      </c>
    </row>
    <row r="73">
      <c r="A73" s="1" t="s">
        <v>51</v>
      </c>
      <c r="B73" s="8">
        <v>80.0</v>
      </c>
    </row>
    <row r="74">
      <c r="A74" s="1" t="s">
        <v>51</v>
      </c>
      <c r="B74" s="8">
        <v>70.0</v>
      </c>
    </row>
    <row r="75">
      <c r="A75" s="1" t="s">
        <v>56</v>
      </c>
      <c r="B75" s="8">
        <v>126.0</v>
      </c>
    </row>
    <row r="76">
      <c r="A76" s="1" t="s">
        <v>51</v>
      </c>
      <c r="B76" s="8">
        <v>170.0</v>
      </c>
    </row>
    <row r="77">
      <c r="A77" s="1" t="s">
        <v>1172</v>
      </c>
      <c r="B77" s="8">
        <v>27.0</v>
      </c>
    </row>
    <row r="78">
      <c r="A78" s="1" t="s">
        <v>148</v>
      </c>
      <c r="B78" s="8">
        <v>57.0</v>
      </c>
    </row>
    <row r="79">
      <c r="A79" s="1" t="s">
        <v>58</v>
      </c>
      <c r="B79" s="8">
        <v>234.0</v>
      </c>
    </row>
    <row r="80">
      <c r="A80" s="1" t="s">
        <v>36</v>
      </c>
      <c r="B80" s="8">
        <v>34.0</v>
      </c>
    </row>
    <row r="81">
      <c r="A81" s="1" t="s">
        <v>56</v>
      </c>
      <c r="B81" s="8">
        <v>18.0</v>
      </c>
    </row>
    <row r="82">
      <c r="A82" s="1" t="s">
        <v>36</v>
      </c>
      <c r="B82" s="8">
        <v>50.0</v>
      </c>
    </row>
    <row r="83">
      <c r="A83" s="1"/>
      <c r="B83" s="8"/>
    </row>
    <row r="84">
      <c r="A84" s="3"/>
      <c r="B84" s="2"/>
    </row>
    <row r="85">
      <c r="A85" s="3"/>
      <c r="B85" s="2"/>
    </row>
    <row r="86">
      <c r="A86" s="3"/>
      <c r="B86" s="2"/>
    </row>
    <row r="87">
      <c r="A87" s="3"/>
      <c r="B87" s="2"/>
    </row>
    <row r="88">
      <c r="A88" s="3"/>
      <c r="B88" s="2"/>
    </row>
    <row r="89">
      <c r="A89" s="3"/>
      <c r="B89" s="2"/>
    </row>
    <row r="90">
      <c r="A90" s="3"/>
      <c r="B90" s="2"/>
    </row>
    <row r="91">
      <c r="A91" s="3"/>
      <c r="B91" s="2"/>
    </row>
    <row r="92">
      <c r="A92" s="3"/>
      <c r="B92" s="2"/>
    </row>
    <row r="93">
      <c r="A93" s="3"/>
      <c r="B93" s="2"/>
    </row>
    <row r="94">
      <c r="A94" s="3"/>
      <c r="B94" s="2"/>
    </row>
    <row r="95">
      <c r="A95" s="3"/>
      <c r="B95" s="2"/>
    </row>
    <row r="96">
      <c r="A96" s="3"/>
      <c r="B96" s="2"/>
    </row>
    <row r="97">
      <c r="A97" s="3"/>
      <c r="B97" s="2"/>
    </row>
    <row r="98">
      <c r="A98" s="3"/>
      <c r="B98" s="2"/>
    </row>
    <row r="99">
      <c r="A99" s="3"/>
      <c r="B99" s="2"/>
    </row>
    <row r="100">
      <c r="A100" s="3"/>
      <c r="B100" s="2"/>
    </row>
    <row r="101">
      <c r="A101" s="3"/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customSheetViews>
    <customSheetView guid="{E969E989-0C31-444B-8C15-CA7195A654B3}" filter="1" showAutoFilter="1">
      <autoFilter ref="$F$15"/>
    </customSheetView>
  </customSheetViews>
  <mergeCells count="2">
    <mergeCell ref="A1:B1"/>
    <mergeCell ref="D1:E1"/>
  </mergeCells>
  <dataValidations>
    <dataValidation type="list" allowBlank="1" sqref="A3">
      <formula1>kategorie!$A$1:$A$10</formula1>
    </dataValidation>
    <dataValidation type="list" allowBlank="1" sqref="A4:A101">
      <formula1>kategorie!$A$1:$A$20</formula1>
    </dataValidation>
  </dataValidation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7" max="7" width="24.88"/>
  </cols>
  <sheetData>
    <row r="1">
      <c r="A1" s="1" t="s">
        <v>1347</v>
      </c>
      <c r="D1" s="1" t="s">
        <v>27</v>
      </c>
      <c r="G1" s="1" t="s">
        <v>28</v>
      </c>
      <c r="I1" s="1" t="s">
        <v>29</v>
      </c>
      <c r="J1" s="45">
        <f>SUM(I3:I1001)</f>
        <v>8078</v>
      </c>
      <c r="L1" s="1" t="s">
        <v>1441</v>
      </c>
      <c r="M1" s="1" t="s">
        <v>1442</v>
      </c>
    </row>
    <row r="2">
      <c r="B2" s="2"/>
    </row>
    <row r="3">
      <c r="A3" s="1" t="s">
        <v>35</v>
      </c>
      <c r="B3" s="8">
        <v>609.0</v>
      </c>
      <c r="D3" s="1" t="s">
        <v>34</v>
      </c>
      <c r="E3" s="8">
        <v>17589.0</v>
      </c>
      <c r="G3" s="8">
        <f>Zbiorczy!D2</f>
        <v>20014.07</v>
      </c>
      <c r="I3" s="3">
        <f t="shared" ref="I3:I6" si="1">SUMIF($A$3:A$100, J3, B$3:B$100)</f>
        <v>609</v>
      </c>
      <c r="J3" s="1" t="s">
        <v>35</v>
      </c>
      <c r="L3" s="1" t="s">
        <v>36</v>
      </c>
      <c r="M3" s="46">
        <f t="shared" ref="M3:M5" si="2">SUMIF($A$3:A$100, L3, B$3:B$100)</f>
        <v>512</v>
      </c>
    </row>
    <row r="4">
      <c r="A4" s="1" t="s">
        <v>50</v>
      </c>
      <c r="B4" s="8">
        <v>2130.0</v>
      </c>
      <c r="I4" s="3">
        <f t="shared" si="1"/>
        <v>1860</v>
      </c>
      <c r="J4" s="1" t="s">
        <v>40</v>
      </c>
      <c r="L4" s="1" t="s">
        <v>1172</v>
      </c>
      <c r="M4" s="46">
        <f t="shared" si="2"/>
        <v>150</v>
      </c>
    </row>
    <row r="5">
      <c r="A5" s="1" t="s">
        <v>50</v>
      </c>
      <c r="B5" s="8">
        <v>54.0</v>
      </c>
      <c r="I5" s="3">
        <f t="shared" si="1"/>
        <v>3165</v>
      </c>
      <c r="J5" s="1" t="s">
        <v>46</v>
      </c>
      <c r="L5" s="1" t="s">
        <v>56</v>
      </c>
      <c r="M5" s="46">
        <f t="shared" si="2"/>
        <v>2331.07</v>
      </c>
    </row>
    <row r="6">
      <c r="A6" s="1" t="s">
        <v>56</v>
      </c>
      <c r="B6" s="8">
        <v>895.07</v>
      </c>
      <c r="I6" s="3">
        <f t="shared" si="1"/>
        <v>2444</v>
      </c>
      <c r="J6" s="1" t="s">
        <v>50</v>
      </c>
    </row>
    <row r="7">
      <c r="A7" s="1" t="s">
        <v>56</v>
      </c>
      <c r="B7" s="8">
        <v>32.0</v>
      </c>
    </row>
    <row r="8">
      <c r="A8" s="1" t="s">
        <v>56</v>
      </c>
      <c r="B8" s="8">
        <v>310.0</v>
      </c>
      <c r="N8" s="3">
        <f>SUMIF($A$3:B$101, O8, C$3:C$101)</f>
        <v>0</v>
      </c>
      <c r="O8" s="1" t="s">
        <v>47</v>
      </c>
    </row>
    <row r="9">
      <c r="A9" s="1" t="s">
        <v>46</v>
      </c>
      <c r="B9" s="8">
        <v>3165.0</v>
      </c>
    </row>
    <row r="10">
      <c r="A10" s="1" t="s">
        <v>40</v>
      </c>
      <c r="B10" s="8">
        <v>1860.0</v>
      </c>
    </row>
    <row r="11">
      <c r="A11" s="1" t="s">
        <v>36</v>
      </c>
      <c r="B11" s="8">
        <v>65.0</v>
      </c>
    </row>
    <row r="12">
      <c r="A12" s="1" t="s">
        <v>36</v>
      </c>
      <c r="B12" s="8">
        <v>28.0</v>
      </c>
    </row>
    <row r="13">
      <c r="A13" s="1" t="s">
        <v>36</v>
      </c>
      <c r="B13" s="8">
        <v>61.0</v>
      </c>
    </row>
    <row r="14">
      <c r="A14" s="1" t="s">
        <v>36</v>
      </c>
      <c r="B14" s="8">
        <v>54.0</v>
      </c>
    </row>
    <row r="15">
      <c r="A15" s="1" t="s">
        <v>37</v>
      </c>
      <c r="B15" s="8">
        <v>25.0</v>
      </c>
    </row>
    <row r="16">
      <c r="A16" s="1" t="s">
        <v>56</v>
      </c>
      <c r="B16" s="8">
        <v>9.0</v>
      </c>
    </row>
    <row r="17">
      <c r="A17" s="1" t="s">
        <v>36</v>
      </c>
      <c r="B17" s="8">
        <v>15.0</v>
      </c>
    </row>
    <row r="18">
      <c r="A18" s="1" t="s">
        <v>56</v>
      </c>
      <c r="B18" s="8">
        <v>12.0</v>
      </c>
    </row>
    <row r="19">
      <c r="A19" s="1" t="s">
        <v>56</v>
      </c>
      <c r="B19" s="8">
        <v>25.0</v>
      </c>
    </row>
    <row r="20">
      <c r="A20" s="1" t="s">
        <v>41</v>
      </c>
      <c r="B20" s="8">
        <v>15.0</v>
      </c>
    </row>
    <row r="21">
      <c r="A21" s="1" t="s">
        <v>56</v>
      </c>
      <c r="B21" s="8">
        <v>177.0</v>
      </c>
    </row>
    <row r="22">
      <c r="A22" s="1" t="s">
        <v>42</v>
      </c>
      <c r="B22" s="8">
        <v>105.0</v>
      </c>
    </row>
    <row r="23">
      <c r="A23" s="1" t="s">
        <v>772</v>
      </c>
      <c r="B23" s="8">
        <v>17.0</v>
      </c>
    </row>
    <row r="24">
      <c r="A24" s="1" t="s">
        <v>36</v>
      </c>
      <c r="B24" s="8">
        <v>57.0</v>
      </c>
    </row>
    <row r="25">
      <c r="A25" s="1" t="s">
        <v>55</v>
      </c>
      <c r="B25" s="8">
        <v>162.0</v>
      </c>
    </row>
    <row r="26">
      <c r="A26" s="1" t="s">
        <v>56</v>
      </c>
      <c r="B26" s="8">
        <v>28.0</v>
      </c>
    </row>
    <row r="27">
      <c r="A27" s="1" t="s">
        <v>50</v>
      </c>
      <c r="B27" s="8">
        <v>260.0</v>
      </c>
    </row>
    <row r="28">
      <c r="A28" s="1" t="s">
        <v>36</v>
      </c>
      <c r="B28" s="8">
        <v>13.0</v>
      </c>
    </row>
    <row r="29">
      <c r="A29" s="1" t="s">
        <v>47</v>
      </c>
      <c r="B29" s="8">
        <v>30.0</v>
      </c>
    </row>
    <row r="30">
      <c r="A30" s="1" t="s">
        <v>36</v>
      </c>
      <c r="B30" s="8">
        <v>46.0</v>
      </c>
    </row>
    <row r="31">
      <c r="A31" s="1" t="s">
        <v>36</v>
      </c>
      <c r="B31" s="8">
        <v>7.0</v>
      </c>
    </row>
    <row r="32">
      <c r="A32" s="1" t="s">
        <v>47</v>
      </c>
      <c r="B32" s="8">
        <v>12.0</v>
      </c>
    </row>
    <row r="33">
      <c r="A33" s="1" t="s">
        <v>1172</v>
      </c>
      <c r="B33" s="8">
        <v>65.0</v>
      </c>
    </row>
    <row r="34">
      <c r="A34" s="1" t="s">
        <v>41</v>
      </c>
      <c r="B34" s="8">
        <v>14.0</v>
      </c>
    </row>
    <row r="35">
      <c r="A35" s="1" t="s">
        <v>307</v>
      </c>
      <c r="B35" s="8">
        <v>109.0</v>
      </c>
    </row>
    <row r="36">
      <c r="A36" s="1" t="s">
        <v>56</v>
      </c>
      <c r="B36" s="8">
        <v>33.0</v>
      </c>
    </row>
    <row r="37">
      <c r="A37" s="1" t="s">
        <v>56</v>
      </c>
      <c r="B37" s="8">
        <v>91.0</v>
      </c>
    </row>
    <row r="38">
      <c r="A38" s="1" t="s">
        <v>56</v>
      </c>
      <c r="B38" s="8">
        <v>5.0</v>
      </c>
    </row>
    <row r="39">
      <c r="A39" s="1" t="s">
        <v>58</v>
      </c>
      <c r="B39" s="8">
        <v>6.0</v>
      </c>
    </row>
    <row r="40">
      <c r="A40" s="1" t="s">
        <v>1172</v>
      </c>
      <c r="B40" s="8">
        <v>60.0</v>
      </c>
    </row>
    <row r="41">
      <c r="A41" s="1" t="s">
        <v>56</v>
      </c>
      <c r="B41" s="8">
        <v>400.0</v>
      </c>
    </row>
    <row r="42">
      <c r="A42" s="1" t="s">
        <v>36</v>
      </c>
      <c r="B42" s="8">
        <v>15.0</v>
      </c>
    </row>
    <row r="43">
      <c r="A43" s="1" t="s">
        <v>36</v>
      </c>
      <c r="B43" s="8">
        <v>20.0</v>
      </c>
    </row>
    <row r="44">
      <c r="A44" s="1" t="s">
        <v>41</v>
      </c>
      <c r="B44" s="8">
        <v>5.0</v>
      </c>
    </row>
    <row r="45">
      <c r="A45" s="1" t="s">
        <v>307</v>
      </c>
      <c r="B45" s="8">
        <v>100.0</v>
      </c>
    </row>
    <row r="46">
      <c r="A46" s="1" t="s">
        <v>1172</v>
      </c>
      <c r="B46" s="8">
        <v>25.0</v>
      </c>
    </row>
    <row r="47">
      <c r="A47" s="1" t="s">
        <v>58</v>
      </c>
      <c r="B47" s="8">
        <v>234.0</v>
      </c>
    </row>
    <row r="48">
      <c r="A48" s="1" t="s">
        <v>41</v>
      </c>
      <c r="B48" s="8">
        <v>10.0</v>
      </c>
    </row>
    <row r="49">
      <c r="A49" s="1" t="s">
        <v>36</v>
      </c>
      <c r="B49" s="8">
        <v>45.0</v>
      </c>
    </row>
    <row r="50">
      <c r="A50" s="1" t="s">
        <v>56</v>
      </c>
      <c r="B50" s="8">
        <v>190.0</v>
      </c>
    </row>
    <row r="51">
      <c r="A51" s="1" t="s">
        <v>37</v>
      </c>
      <c r="B51" s="8">
        <v>6.0</v>
      </c>
    </row>
    <row r="52">
      <c r="A52" s="1" t="s">
        <v>36</v>
      </c>
      <c r="B52" s="8">
        <v>9.0</v>
      </c>
    </row>
    <row r="53">
      <c r="A53" s="1" t="s">
        <v>36</v>
      </c>
      <c r="B53" s="8">
        <v>11.0</v>
      </c>
    </row>
    <row r="54">
      <c r="A54" s="1" t="s">
        <v>41</v>
      </c>
      <c r="B54" s="8">
        <v>9.0</v>
      </c>
    </row>
    <row r="55">
      <c r="A55" s="1" t="s">
        <v>56</v>
      </c>
      <c r="B55" s="8">
        <v>56.0</v>
      </c>
    </row>
    <row r="56">
      <c r="A56" s="1" t="s">
        <v>36</v>
      </c>
      <c r="B56" s="8">
        <v>48.0</v>
      </c>
    </row>
    <row r="57">
      <c r="A57" s="1" t="s">
        <v>41</v>
      </c>
      <c r="B57" s="1">
        <v>7.0</v>
      </c>
    </row>
    <row r="58">
      <c r="A58" s="1" t="s">
        <v>56</v>
      </c>
      <c r="B58" s="8">
        <v>8.0</v>
      </c>
    </row>
    <row r="59">
      <c r="A59" s="1" t="s">
        <v>51</v>
      </c>
      <c r="B59" s="8">
        <v>70.0</v>
      </c>
    </row>
    <row r="60">
      <c r="A60" s="1" t="s">
        <v>56</v>
      </c>
      <c r="B60" s="8">
        <v>60.0</v>
      </c>
    </row>
    <row r="61">
      <c r="A61" s="1" t="s">
        <v>36</v>
      </c>
      <c r="B61" s="8">
        <v>18.0</v>
      </c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  <row r="101">
      <c r="A101" s="1"/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  <row r="1001">
      <c r="B1001" s="2"/>
    </row>
  </sheetData>
  <customSheetViews>
    <customSheetView guid="{E969E989-0C31-444B-8C15-CA7195A654B3}" filter="1" showAutoFilter="1">
      <autoFilter ref="$F$15"/>
    </customSheetView>
  </customSheetViews>
  <mergeCells count="2">
    <mergeCell ref="A1:B1"/>
    <mergeCell ref="D1:E1"/>
  </mergeCells>
  <dataValidations>
    <dataValidation type="list" allowBlank="1" sqref="A3">
      <formula1>kategorie!$A$1:$A$10</formula1>
    </dataValidation>
    <dataValidation type="list" allowBlank="1" sqref="A4:A101">
      <formula1>kategorie!$A$1:$A$20</formula1>
    </dataValidation>
  </dataValidation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7" max="7" width="24.88"/>
  </cols>
  <sheetData>
    <row r="1">
      <c r="A1" s="1" t="s">
        <v>1347</v>
      </c>
      <c r="D1" s="1" t="s">
        <v>27</v>
      </c>
      <c r="G1" s="1" t="s">
        <v>28</v>
      </c>
      <c r="I1" s="1" t="s">
        <v>29</v>
      </c>
      <c r="J1" s="6">
        <f>SUM(I3:I1001)</f>
        <v>8602</v>
      </c>
    </row>
    <row r="2">
      <c r="K2" s="45"/>
    </row>
    <row r="3">
      <c r="A3" s="1" t="s">
        <v>36</v>
      </c>
      <c r="B3" s="8">
        <v>30.0</v>
      </c>
      <c r="D3" s="1" t="s">
        <v>34</v>
      </c>
      <c r="E3" s="8">
        <v>17932.17</v>
      </c>
      <c r="G3" s="8">
        <v>15510.0</v>
      </c>
      <c r="I3" s="3">
        <f t="shared" ref="I3:I6" si="1">SUMIF($A$3:A$100, J3, B$3:B$100)</f>
        <v>609</v>
      </c>
      <c r="J3" s="1" t="s">
        <v>35</v>
      </c>
    </row>
    <row r="4">
      <c r="A4" s="1" t="s">
        <v>41</v>
      </c>
      <c r="B4" s="8">
        <v>13.0</v>
      </c>
      <c r="I4" s="3">
        <f t="shared" si="1"/>
        <v>2618</v>
      </c>
      <c r="J4" s="1" t="s">
        <v>40</v>
      </c>
    </row>
    <row r="5">
      <c r="A5" s="1" t="s">
        <v>1443</v>
      </c>
      <c r="B5" s="8">
        <v>280.0</v>
      </c>
      <c r="I5" s="3">
        <f t="shared" si="1"/>
        <v>3245</v>
      </c>
      <c r="J5" s="1" t="s">
        <v>46</v>
      </c>
    </row>
    <row r="6">
      <c r="A6" s="1" t="s">
        <v>1444</v>
      </c>
      <c r="B6" s="8">
        <v>150.0</v>
      </c>
      <c r="I6" s="3">
        <f t="shared" si="1"/>
        <v>2130</v>
      </c>
      <c r="J6" s="1" t="s">
        <v>50</v>
      </c>
    </row>
    <row r="7">
      <c r="A7" s="1" t="s">
        <v>35</v>
      </c>
      <c r="B7" s="8">
        <v>609.0</v>
      </c>
    </row>
    <row r="8">
      <c r="A8" s="1" t="s">
        <v>1318</v>
      </c>
      <c r="B8" s="8">
        <v>60.0</v>
      </c>
      <c r="N8" s="3">
        <f>SUMIF($A$3:B$101, O8, C$3:C$101)</f>
        <v>0</v>
      </c>
      <c r="O8" s="1" t="s">
        <v>47</v>
      </c>
    </row>
    <row r="9">
      <c r="A9" s="1" t="s">
        <v>55</v>
      </c>
      <c r="B9" s="8">
        <v>162.0</v>
      </c>
    </row>
    <row r="10">
      <c r="A10" s="1" t="s">
        <v>51</v>
      </c>
      <c r="B10" s="8">
        <v>126.0</v>
      </c>
    </row>
    <row r="11">
      <c r="A11" s="1" t="s">
        <v>51</v>
      </c>
      <c r="B11" s="8">
        <v>105.0</v>
      </c>
    </row>
    <row r="12">
      <c r="A12" s="1" t="s">
        <v>46</v>
      </c>
      <c r="B12" s="8">
        <v>3245.0</v>
      </c>
    </row>
    <row r="13">
      <c r="A13" s="1" t="s">
        <v>40</v>
      </c>
      <c r="B13" s="8">
        <v>2618.0</v>
      </c>
    </row>
    <row r="14">
      <c r="A14" s="1" t="s">
        <v>1445</v>
      </c>
      <c r="B14" s="8">
        <v>30.0</v>
      </c>
    </row>
    <row r="15">
      <c r="A15" s="1" t="s">
        <v>1446</v>
      </c>
      <c r="B15" s="8">
        <v>26.0</v>
      </c>
    </row>
    <row r="16">
      <c r="A16" s="1" t="s">
        <v>51</v>
      </c>
      <c r="B16" s="8">
        <v>92.0</v>
      </c>
    </row>
    <row r="17">
      <c r="A17" s="1" t="s">
        <v>50</v>
      </c>
      <c r="B17" s="8">
        <v>2130.0</v>
      </c>
    </row>
    <row r="18">
      <c r="A18" s="1" t="s">
        <v>1172</v>
      </c>
      <c r="B18" s="8">
        <v>30.0</v>
      </c>
    </row>
    <row r="19">
      <c r="A19" s="1" t="s">
        <v>36</v>
      </c>
      <c r="B19" s="8">
        <v>20.0</v>
      </c>
    </row>
    <row r="20">
      <c r="A20" s="1" t="s">
        <v>1050</v>
      </c>
      <c r="B20" s="8">
        <v>79.0</v>
      </c>
    </row>
    <row r="21">
      <c r="A21" s="1" t="s">
        <v>41</v>
      </c>
      <c r="B21" s="8">
        <v>14.7</v>
      </c>
    </row>
    <row r="22">
      <c r="A22" s="1" t="s">
        <v>36</v>
      </c>
      <c r="B22" s="8">
        <v>30.0</v>
      </c>
    </row>
    <row r="23">
      <c r="A23" s="1" t="s">
        <v>1447</v>
      </c>
      <c r="B23" s="8">
        <v>111.0</v>
      </c>
    </row>
    <row r="24">
      <c r="A24" s="1" t="s">
        <v>36</v>
      </c>
      <c r="B24" s="8">
        <v>34.0</v>
      </c>
    </row>
    <row r="25">
      <c r="A25" s="1" t="s">
        <v>1448</v>
      </c>
      <c r="B25" s="8">
        <v>30.0</v>
      </c>
    </row>
    <row r="26">
      <c r="A26" s="1" t="s">
        <v>1449</v>
      </c>
      <c r="B26" s="8">
        <v>120.0</v>
      </c>
    </row>
    <row r="27">
      <c r="A27" s="1" t="s">
        <v>780</v>
      </c>
      <c r="B27" s="8">
        <v>10.0</v>
      </c>
    </row>
    <row r="28">
      <c r="A28" s="1" t="s">
        <v>853</v>
      </c>
      <c r="B28" s="8">
        <v>20.0</v>
      </c>
    </row>
    <row r="29">
      <c r="A29" s="1" t="s">
        <v>1450</v>
      </c>
      <c r="B29" s="8">
        <v>58.0</v>
      </c>
    </row>
    <row r="30">
      <c r="A30" s="1" t="s">
        <v>1451</v>
      </c>
      <c r="B30" s="8">
        <v>50.0</v>
      </c>
    </row>
    <row r="31">
      <c r="A31" s="1" t="s">
        <v>1452</v>
      </c>
      <c r="B31" s="8">
        <v>70.0</v>
      </c>
    </row>
    <row r="32">
      <c r="A32" s="1" t="s">
        <v>41</v>
      </c>
      <c r="B32" s="8">
        <v>30.0</v>
      </c>
    </row>
    <row r="33">
      <c r="A33" s="1" t="s">
        <v>1160</v>
      </c>
      <c r="B33" s="8">
        <v>13.0</v>
      </c>
    </row>
    <row r="34">
      <c r="A34" s="1" t="s">
        <v>1453</v>
      </c>
      <c r="B34" s="8">
        <v>60.0</v>
      </c>
    </row>
    <row r="35">
      <c r="A35" s="1" t="s">
        <v>1172</v>
      </c>
      <c r="B35" s="8">
        <v>29.0</v>
      </c>
    </row>
    <row r="36">
      <c r="A36" s="1" t="s">
        <v>1454</v>
      </c>
      <c r="B36" s="8">
        <v>20.0</v>
      </c>
    </row>
    <row r="37">
      <c r="A37" s="1" t="s">
        <v>1455</v>
      </c>
      <c r="B37" s="8">
        <v>8.0</v>
      </c>
    </row>
    <row r="38">
      <c r="A38" s="1" t="s">
        <v>36</v>
      </c>
      <c r="B38" s="8">
        <v>20.0</v>
      </c>
    </row>
    <row r="39">
      <c r="A39" s="1" t="s">
        <v>1454</v>
      </c>
      <c r="B39" s="8">
        <v>14.0</v>
      </c>
    </row>
    <row r="40">
      <c r="A40" s="1" t="s">
        <v>1138</v>
      </c>
      <c r="B40" s="8">
        <v>36.0</v>
      </c>
    </row>
    <row r="41">
      <c r="A41" s="1" t="s">
        <v>1456</v>
      </c>
      <c r="B41" s="8">
        <v>16.0</v>
      </c>
    </row>
    <row r="42">
      <c r="A42" s="1" t="s">
        <v>51</v>
      </c>
      <c r="B42" s="8">
        <v>56.0</v>
      </c>
    </row>
    <row r="43">
      <c r="A43" s="1" t="s">
        <v>42</v>
      </c>
      <c r="B43" s="8">
        <v>28.0</v>
      </c>
    </row>
    <row r="44">
      <c r="A44" s="1" t="s">
        <v>1456</v>
      </c>
      <c r="B44" s="8">
        <v>19.0</v>
      </c>
    </row>
    <row r="45">
      <c r="A45" s="1" t="s">
        <v>853</v>
      </c>
      <c r="B45" s="8">
        <v>9.0</v>
      </c>
    </row>
    <row r="46">
      <c r="A46" s="1" t="s">
        <v>1454</v>
      </c>
      <c r="B46" s="8">
        <v>35.0</v>
      </c>
    </row>
    <row r="47">
      <c r="A47" s="1" t="s">
        <v>1197</v>
      </c>
      <c r="B47" s="8">
        <v>526.0</v>
      </c>
    </row>
    <row r="48">
      <c r="A48" s="1" t="s">
        <v>1185</v>
      </c>
      <c r="B48" s="8">
        <v>36.0</v>
      </c>
    </row>
    <row r="49">
      <c r="A49" s="1" t="s">
        <v>795</v>
      </c>
      <c r="B49" s="8">
        <v>28.0</v>
      </c>
    </row>
    <row r="50">
      <c r="A50" s="1" t="s">
        <v>1445</v>
      </c>
      <c r="B50" s="8">
        <v>40.0</v>
      </c>
    </row>
    <row r="51">
      <c r="A51" s="1" t="s">
        <v>813</v>
      </c>
      <c r="B51" s="8">
        <v>75.0</v>
      </c>
    </row>
    <row r="52">
      <c r="A52" s="1" t="s">
        <v>1138</v>
      </c>
      <c r="B52" s="8">
        <v>15.0</v>
      </c>
    </row>
    <row r="53">
      <c r="A53" s="1" t="s">
        <v>1454</v>
      </c>
      <c r="B53" s="8">
        <v>43.0</v>
      </c>
    </row>
    <row r="54">
      <c r="A54" s="1" t="s">
        <v>1197</v>
      </c>
      <c r="B54" s="8">
        <v>36.0</v>
      </c>
    </row>
    <row r="55">
      <c r="A55" s="1" t="s">
        <v>1457</v>
      </c>
      <c r="B55" s="8">
        <v>70.0</v>
      </c>
    </row>
    <row r="56">
      <c r="A56" s="1" t="s">
        <v>1454</v>
      </c>
      <c r="B56" s="8">
        <v>16.0</v>
      </c>
    </row>
    <row r="57">
      <c r="A57" s="1" t="s">
        <v>1458</v>
      </c>
      <c r="B57" s="8">
        <v>10.0</v>
      </c>
    </row>
    <row r="58">
      <c r="A58" s="1" t="s">
        <v>51</v>
      </c>
      <c r="B58" s="8">
        <v>116.0</v>
      </c>
    </row>
    <row r="59">
      <c r="A59" s="1" t="s">
        <v>1459</v>
      </c>
      <c r="B59" s="8">
        <v>36.0</v>
      </c>
    </row>
    <row r="60">
      <c r="A60" s="1" t="s">
        <v>1456</v>
      </c>
      <c r="B60" s="8">
        <v>25.0</v>
      </c>
    </row>
    <row r="61">
      <c r="A61" s="1" t="s">
        <v>1318</v>
      </c>
      <c r="B61" s="8">
        <v>24.0</v>
      </c>
    </row>
    <row r="62">
      <c r="A62" s="1" t="s">
        <v>36</v>
      </c>
      <c r="B62" s="8">
        <v>58.0</v>
      </c>
    </row>
    <row r="63">
      <c r="A63" s="1" t="s">
        <v>36</v>
      </c>
      <c r="B63" s="8">
        <v>25.0</v>
      </c>
    </row>
    <row r="64">
      <c r="A64" s="1" t="s">
        <v>1460</v>
      </c>
      <c r="B64" s="8">
        <v>37.0</v>
      </c>
    </row>
    <row r="65">
      <c r="A65" s="1" t="s">
        <v>1461</v>
      </c>
      <c r="B65" s="8">
        <v>129.0</v>
      </c>
      <c r="C65" s="47"/>
    </row>
    <row r="66">
      <c r="A66" s="1" t="s">
        <v>1197</v>
      </c>
      <c r="B66" s="8">
        <v>138.0</v>
      </c>
    </row>
    <row r="67">
      <c r="A67" s="1" t="s">
        <v>1197</v>
      </c>
      <c r="B67" s="8">
        <v>292.0</v>
      </c>
    </row>
    <row r="68">
      <c r="A68" s="1" t="s">
        <v>1462</v>
      </c>
      <c r="B68" s="8">
        <v>70.0</v>
      </c>
    </row>
    <row r="69">
      <c r="A69" s="1" t="s">
        <v>901</v>
      </c>
      <c r="B69" s="8">
        <v>70.0</v>
      </c>
    </row>
    <row r="70">
      <c r="A70" s="1" t="s">
        <v>1454</v>
      </c>
      <c r="B70" s="8">
        <v>50.0</v>
      </c>
    </row>
    <row r="71">
      <c r="A71" s="1" t="s">
        <v>1463</v>
      </c>
      <c r="B71" s="1">
        <v>50.0</v>
      </c>
    </row>
    <row r="72">
      <c r="A72" s="1" t="s">
        <v>1445</v>
      </c>
      <c r="B72" s="1">
        <v>15.0</v>
      </c>
    </row>
    <row r="73">
      <c r="A73" s="1" t="s">
        <v>1458</v>
      </c>
      <c r="B73" s="1">
        <v>40.0</v>
      </c>
    </row>
    <row r="74">
      <c r="A74" s="1" t="s">
        <v>1464</v>
      </c>
      <c r="B74" s="1">
        <v>90.0</v>
      </c>
    </row>
    <row r="75">
      <c r="A75" s="1" t="s">
        <v>396</v>
      </c>
      <c r="B75" s="1">
        <v>233.0</v>
      </c>
    </row>
    <row r="76">
      <c r="A76" s="1" t="s">
        <v>1454</v>
      </c>
      <c r="B76" s="1">
        <v>46.0</v>
      </c>
    </row>
    <row r="77">
      <c r="A77" s="1" t="s">
        <v>1464</v>
      </c>
      <c r="B77" s="1">
        <v>25.0</v>
      </c>
    </row>
    <row r="78">
      <c r="A78" s="1" t="s">
        <v>1444</v>
      </c>
      <c r="B78" s="1">
        <v>3.4</v>
      </c>
    </row>
    <row r="79">
      <c r="A79" s="1" t="s">
        <v>1465</v>
      </c>
      <c r="B79" s="1">
        <v>40.0</v>
      </c>
    </row>
    <row r="80">
      <c r="A80" s="1" t="s">
        <v>1466</v>
      </c>
      <c r="B80" s="1">
        <v>72.0</v>
      </c>
    </row>
    <row r="81">
      <c r="A81" s="1" t="s">
        <v>1454</v>
      </c>
      <c r="B81" s="1">
        <v>56.0</v>
      </c>
    </row>
    <row r="82">
      <c r="A82" s="1" t="s">
        <v>1464</v>
      </c>
      <c r="B82" s="1">
        <v>47.0</v>
      </c>
    </row>
  </sheetData>
  <mergeCells count="2">
    <mergeCell ref="A1:B1"/>
    <mergeCell ref="D1:E1"/>
  </mergeCells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</row>
    <row r="2">
      <c r="A2" s="1" t="s">
        <v>41</v>
      </c>
    </row>
    <row r="3">
      <c r="A3" s="1" t="s">
        <v>51</v>
      </c>
    </row>
    <row r="4">
      <c r="A4" s="1" t="s">
        <v>772</v>
      </c>
    </row>
    <row r="5">
      <c r="A5" s="1" t="s">
        <v>56</v>
      </c>
    </row>
    <row r="6">
      <c r="A6" s="1" t="s">
        <v>46</v>
      </c>
    </row>
    <row r="7">
      <c r="A7" s="1" t="s">
        <v>40</v>
      </c>
    </row>
    <row r="8">
      <c r="A8" s="1" t="s">
        <v>201</v>
      </c>
    </row>
    <row r="9">
      <c r="A9" s="1" t="s">
        <v>47</v>
      </c>
    </row>
    <row r="10">
      <c r="A10" s="1" t="s">
        <v>58</v>
      </c>
    </row>
    <row r="11">
      <c r="A11" s="1" t="s">
        <v>50</v>
      </c>
    </row>
    <row r="12">
      <c r="A12" s="1" t="s">
        <v>37</v>
      </c>
    </row>
    <row r="13">
      <c r="A13" s="1" t="s">
        <v>42</v>
      </c>
    </row>
    <row r="14">
      <c r="A14" s="1" t="s">
        <v>55</v>
      </c>
    </row>
    <row r="15">
      <c r="A15" s="1" t="s">
        <v>1172</v>
      </c>
    </row>
    <row r="16">
      <c r="A16" s="1" t="s">
        <v>47</v>
      </c>
    </row>
    <row r="17">
      <c r="A17" s="1" t="s">
        <v>307</v>
      </c>
    </row>
    <row r="18">
      <c r="A18" s="1" t="s">
        <v>80</v>
      </c>
    </row>
    <row r="19">
      <c r="A19" s="1" t="s">
        <v>148</v>
      </c>
    </row>
    <row r="20">
      <c r="A20" s="1" t="s">
        <v>73</v>
      </c>
    </row>
    <row r="21">
      <c r="A21" s="1" t="s">
        <v>842</v>
      </c>
    </row>
    <row r="22">
      <c r="A22" s="1" t="s">
        <v>224</v>
      </c>
    </row>
    <row r="23">
      <c r="A23" s="1" t="s">
        <v>222</v>
      </c>
      <c r="D23" s="11">
        <v>45718.56377306713</v>
      </c>
    </row>
    <row r="24">
      <c r="A24" s="1" t="s">
        <v>534</v>
      </c>
      <c r="D24" s="11">
        <v>45718.56380725694</v>
      </c>
    </row>
    <row r="25">
      <c r="A25" s="1" t="s">
        <v>62</v>
      </c>
      <c r="D25" s="11">
        <v>45718.65766505787</v>
      </c>
    </row>
    <row r="26">
      <c r="A26" s="1" t="s">
        <v>1467</v>
      </c>
      <c r="D26" s="11">
        <v>45718.65788798611</v>
      </c>
    </row>
  </sheetData>
  <drawing r:id="rId1"/>
</worksheet>
</file>